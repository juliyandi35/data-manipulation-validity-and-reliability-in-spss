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Data Manipulation (Validity and Reliability in SPSS)\"/>
    </mc:Choice>
  </mc:AlternateContent>
  <xr:revisionPtr revIDLastSave="0" documentId="13_ncr:1_{BC4549BC-6C3A-440E-BC80-71C997512F0A}" xr6:coauthVersionLast="47" xr6:coauthVersionMax="47" xr10:uidLastSave="{00000000-0000-0000-0000-000000000000}"/>
  <bookViews>
    <workbookView xWindow="-110" yWindow="-110" windowWidth="19420" windowHeight="10300" firstSheet="3" activeTab="5" xr2:uid="{47E4A985-01F8-48DD-B1FD-473C292FA09C}"/>
  </bookViews>
  <sheets>
    <sheet name="Motivasi Berpretasi" sheetId="1" r:id="rId1"/>
    <sheet name="Komitmen Pegawai" sheetId="2" r:id="rId2"/>
    <sheet name="Budaya Organisasi" sheetId="3" r:id="rId3"/>
    <sheet name="Kinerja Pegawai" sheetId="4" r:id="rId4"/>
    <sheet name="Rangkuman Validitas" sheetId="5" r:id="rId5"/>
    <sheet name="Rangkuman Reliabilita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 a="1"/>
  <c r="B5" i="6" s="1"/>
  <c r="B4" i="6" a="1"/>
  <c r="B4" i="6" s="1"/>
  <c r="B3" i="6" a="1"/>
  <c r="B3" i="6" s="1"/>
  <c r="B2" i="6" a="1"/>
  <c r="B2" i="6" s="1"/>
  <c r="Z3" i="4"/>
  <c r="AA3" i="4" s="1"/>
  <c r="AF3" i="3"/>
  <c r="AG3" i="3" s="1"/>
  <c r="X3" i="2"/>
  <c r="Y3" i="2" s="1"/>
  <c r="U3" i="1"/>
  <c r="T3" i="1"/>
  <c r="R11" i="4" a="1"/>
  <c r="X11" i="3" a="1"/>
  <c r="L5" i="1" a="1"/>
  <c r="S4" i="4" a="1"/>
  <c r="X12" i="3" a="1"/>
  <c r="M6" i="1" a="1"/>
  <c r="S3" i="4" a="1"/>
  <c r="R13" i="2" a="1"/>
  <c r="R7" i="2" a="1"/>
  <c r="Y8" i="3" a="1"/>
  <c r="P7" i="2" a="1"/>
  <c r="Z8" i="3" a="1"/>
  <c r="R6" i="2" a="1"/>
  <c r="T4" i="4" a="1"/>
  <c r="Y7" i="3" a="1"/>
  <c r="P3" i="2" a="1"/>
  <c r="X18" i="3" a="1"/>
  <c r="T10" i="4" a="1"/>
  <c r="R12" i="2" a="1"/>
  <c r="X20" i="3" a="1"/>
  <c r="S9" i="4" a="1"/>
  <c r="L3" i="1" a="1"/>
  <c r="R8" i="4" a="1"/>
  <c r="R5" i="2" a="1"/>
  <c r="M7" i="1" a="1"/>
  <c r="S14" i="4" a="1"/>
  <c r="X5" i="3" a="1"/>
  <c r="M9" i="1" a="1"/>
  <c r="Z7" i="3" a="1"/>
  <c r="Q12" i="2" a="1"/>
  <c r="T9" i="4" a="1"/>
  <c r="Y18" i="3" a="1"/>
  <c r="N5" i="1" a="1"/>
  <c r="Q11" i="2" a="1"/>
  <c r="Y19" i="3" a="1"/>
  <c r="N3" i="1" a="1"/>
  <c r="S12" i="4" a="1"/>
  <c r="Z11" i="3" a="1"/>
  <c r="X7" i="3" a="1"/>
  <c r="Z16" i="3" a="1"/>
  <c r="R3" i="2" a="1"/>
  <c r="Z10" i="3" a="1"/>
  <c r="Q4" i="2" a="1"/>
  <c r="R9" i="4" a="1"/>
  <c r="R15" i="4" a="1"/>
  <c r="Z3" i="3" a="1"/>
  <c r="T6" i="4" a="1"/>
  <c r="Z21" i="3" a="1"/>
  <c r="Z13" i="3" a="1"/>
  <c r="Q13" i="2" a="1"/>
  <c r="Y9" i="3" a="1"/>
  <c r="T3" i="4" a="1"/>
  <c r="R9" i="2" a="1"/>
  <c r="L4" i="1" a="1"/>
  <c r="Y15" i="3" a="1"/>
  <c r="P10" i="2" a="1"/>
  <c r="S11" i="4" a="1"/>
  <c r="X13" i="3" a="1"/>
  <c r="Y12" i="3" a="1"/>
  <c r="Y20" i="3" a="1"/>
  <c r="Q3" i="2" a="1"/>
  <c r="R5" i="4" a="1"/>
  <c r="X21" i="3" a="1"/>
  <c r="X6" i="3" a="1"/>
  <c r="Z9" i="3" a="1"/>
  <c r="Q9" i="2" a="1"/>
  <c r="Y13" i="3" a="1"/>
  <c r="Z5" i="3" a="1"/>
  <c r="Q6" i="2" a="1"/>
  <c r="Z14" i="3" a="1"/>
  <c r="T11" i="4" a="1"/>
  <c r="Y17" i="3" a="1"/>
  <c r="P9" i="2" a="1"/>
  <c r="R8" i="2" a="1"/>
  <c r="Z18" i="3" a="1"/>
  <c r="Q8" i="2" a="1"/>
  <c r="T5" i="4" a="1"/>
  <c r="Y14" i="3" a="1"/>
  <c r="N6" i="1" a="1"/>
  <c r="R12" i="4" a="1"/>
  <c r="R3" i="4" a="1"/>
  <c r="T13" i="4" a="1"/>
  <c r="Y11" i="3" a="1"/>
  <c r="N7" i="1" a="1"/>
  <c r="R10" i="4" a="1"/>
  <c r="R4" i="2" a="1"/>
  <c r="Q5" i="2" a="1"/>
  <c r="P5" i="2" a="1"/>
  <c r="X9" i="3" a="1"/>
  <c r="X4" i="3" a="1"/>
  <c r="T7" i="4" a="1"/>
  <c r="Y6" i="3" a="1"/>
  <c r="N8" i="1" a="1"/>
  <c r="P8" i="2" a="1"/>
  <c r="Z17" i="3" a="1"/>
  <c r="Q7" i="2" a="1"/>
  <c r="S8" i="4" a="1"/>
  <c r="X16" i="3" a="1"/>
  <c r="L7" i="1" a="1"/>
  <c r="Z4" i="3" a="1"/>
  <c r="R11" i="2" a="1"/>
  <c r="S5" i="4" a="1"/>
  <c r="X10" i="3" a="1"/>
  <c r="M5" i="1" a="1"/>
  <c r="Z12" i="3" a="1"/>
  <c r="R10" i="2" a="1"/>
  <c r="T12" i="4" a="1"/>
  <c r="Y16" i="3" a="1"/>
  <c r="N4" i="1" a="1"/>
  <c r="T15" i="4" a="1"/>
  <c r="X8" i="3" a="1"/>
  <c r="M8" i="1" a="1"/>
  <c r="M3" i="1" a="1"/>
  <c r="Y21" i="3" a="1"/>
  <c r="P6" i="2" a="1"/>
  <c r="S7" i="4" a="1"/>
  <c r="Z15" i="3" a="1"/>
  <c r="S15" i="4" a="1"/>
  <c r="X17" i="3" a="1"/>
  <c r="L9" i="1" a="1"/>
  <c r="Q10" i="2" a="1"/>
  <c r="M4" i="1" a="1"/>
  <c r="S10" i="4" a="1"/>
  <c r="X15" i="3" a="1"/>
  <c r="L6" i="1" a="1"/>
  <c r="T14" i="4" a="1"/>
  <c r="Y10" i="3" a="1"/>
  <c r="N9" i="1" a="1"/>
  <c r="R4" i="4" a="1"/>
  <c r="Y3" i="3" a="1"/>
  <c r="X19" i="3" a="1"/>
  <c r="Z6" i="3" a="1"/>
  <c r="P11" i="2" a="1"/>
  <c r="R6" i="4" a="1"/>
  <c r="X3" i="3" a="1"/>
  <c r="T8" i="4" a="1"/>
  <c r="Y5" i="3" a="1"/>
  <c r="P4" i="2" a="1"/>
  <c r="S6" i="4" a="1"/>
  <c r="X14" i="3" a="1"/>
  <c r="L8" i="1" a="1"/>
  <c r="R13" i="4" a="1"/>
  <c r="S13" i="4" a="1"/>
  <c r="Z19" i="3" a="1"/>
  <c r="R7" i="4" a="1"/>
  <c r="Y4" i="3" a="1"/>
  <c r="P13" i="2" a="1"/>
  <c r="R14" i="4" a="1"/>
  <c r="P12" i="2" a="1"/>
  <c r="Z20" i="3" a="1"/>
  <c r="T15" i="4" l="1"/>
  <c r="U15" i="4" s="1"/>
  <c r="T11" i="4"/>
  <c r="U11" i="4" s="1"/>
  <c r="T6" i="4"/>
  <c r="U6" i="4" s="1"/>
  <c r="T10" i="4"/>
  <c r="U10" i="4" s="1"/>
  <c r="T13" i="4"/>
  <c r="U13" i="4" s="1"/>
  <c r="T9" i="4"/>
  <c r="U9" i="4" s="1"/>
  <c r="T5" i="4"/>
  <c r="U5" i="4" s="1"/>
  <c r="T14" i="4"/>
  <c r="U14" i="4" s="1"/>
  <c r="T7" i="4"/>
  <c r="U7" i="4" s="1"/>
  <c r="T12" i="4"/>
  <c r="U12" i="4" s="1"/>
  <c r="T8" i="4"/>
  <c r="U8" i="4" s="1"/>
  <c r="T4" i="4"/>
  <c r="U4" i="4" s="1"/>
  <c r="S15" i="4"/>
  <c r="S11" i="4"/>
  <c r="S7" i="4"/>
  <c r="S14" i="4"/>
  <c r="S10" i="4"/>
  <c r="S6" i="4"/>
  <c r="S13" i="4"/>
  <c r="S9" i="4"/>
  <c r="S5" i="4"/>
  <c r="S12" i="4"/>
  <c r="S8" i="4"/>
  <c r="S4" i="4"/>
  <c r="R8" i="4"/>
  <c r="R7" i="4"/>
  <c r="R14" i="4"/>
  <c r="R10" i="4"/>
  <c r="R6" i="4"/>
  <c r="R12" i="4"/>
  <c r="R4" i="4"/>
  <c r="R15" i="4"/>
  <c r="R11" i="4"/>
  <c r="R13" i="4"/>
  <c r="R9" i="4"/>
  <c r="R5" i="4"/>
  <c r="T3" i="4"/>
  <c r="U3" i="4" s="1"/>
  <c r="S3" i="4"/>
  <c r="Z11" i="3"/>
  <c r="AA11" i="3" s="1"/>
  <c r="Z6" i="3"/>
  <c r="AA6" i="3" s="1"/>
  <c r="Z21" i="3"/>
  <c r="AA21" i="3" s="1"/>
  <c r="Z17" i="3"/>
  <c r="AA17" i="3" s="1"/>
  <c r="Z13" i="3"/>
  <c r="AA13" i="3" s="1"/>
  <c r="Z9" i="3"/>
  <c r="AA9" i="3" s="1"/>
  <c r="Z5" i="3"/>
  <c r="AA5" i="3" s="1"/>
  <c r="Z14" i="3"/>
  <c r="AA14" i="3" s="1"/>
  <c r="Z19" i="3"/>
  <c r="AA19" i="3" s="1"/>
  <c r="Z15" i="3"/>
  <c r="AA15" i="3" s="1"/>
  <c r="Z7" i="3"/>
  <c r="AA7" i="3" s="1"/>
  <c r="Z18" i="3"/>
  <c r="AA18" i="3" s="1"/>
  <c r="Z10" i="3"/>
  <c r="AA10" i="3" s="1"/>
  <c r="Z20" i="3"/>
  <c r="AA20" i="3" s="1"/>
  <c r="Z16" i="3"/>
  <c r="AA16" i="3" s="1"/>
  <c r="Z12" i="3"/>
  <c r="AA12" i="3" s="1"/>
  <c r="Z8" i="3"/>
  <c r="AA8" i="3" s="1"/>
  <c r="Z4" i="3"/>
  <c r="AA4" i="3" s="1"/>
  <c r="Y4" i="3"/>
  <c r="Y19" i="3"/>
  <c r="Y11" i="3"/>
  <c r="Y18" i="3"/>
  <c r="Y14" i="3"/>
  <c r="Y10" i="3"/>
  <c r="Y6" i="3"/>
  <c r="Y16" i="3"/>
  <c r="Y12" i="3"/>
  <c r="Y7" i="3"/>
  <c r="Y20" i="3"/>
  <c r="Y8" i="3"/>
  <c r="Y15" i="3"/>
  <c r="Y21" i="3"/>
  <c r="Y17" i="3"/>
  <c r="Y13" i="3"/>
  <c r="Y9" i="3"/>
  <c r="Y5" i="3"/>
  <c r="X11" i="3"/>
  <c r="X18" i="3"/>
  <c r="X6" i="3"/>
  <c r="X21" i="3"/>
  <c r="X17" i="3"/>
  <c r="X13" i="3"/>
  <c r="X9" i="3"/>
  <c r="X5" i="3"/>
  <c r="X15" i="3"/>
  <c r="X14" i="3"/>
  <c r="X19" i="3"/>
  <c r="X7" i="3"/>
  <c r="X10" i="3"/>
  <c r="X20" i="3"/>
  <c r="X16" i="3"/>
  <c r="X12" i="3"/>
  <c r="X8" i="3"/>
  <c r="X4" i="3"/>
  <c r="Z3" i="3"/>
  <c r="AA3" i="3" s="1"/>
  <c r="Y3" i="3"/>
  <c r="R3" i="4"/>
  <c r="X3" i="3"/>
  <c r="R7" i="2"/>
  <c r="S7" i="2" s="1"/>
  <c r="R10" i="2"/>
  <c r="S10" i="2" s="1"/>
  <c r="R6" i="2"/>
  <c r="S6" i="2" s="1"/>
  <c r="R11" i="2"/>
  <c r="S11" i="2" s="1"/>
  <c r="R13" i="2"/>
  <c r="S13" i="2" s="1"/>
  <c r="R9" i="2"/>
  <c r="S9" i="2" s="1"/>
  <c r="R5" i="2"/>
  <c r="S5" i="2" s="1"/>
  <c r="R12" i="2"/>
  <c r="S12" i="2" s="1"/>
  <c r="R8" i="2"/>
  <c r="S8" i="2" s="1"/>
  <c r="R4" i="2"/>
  <c r="S4" i="2" s="1"/>
  <c r="R3" i="2"/>
  <c r="S3" i="2" s="1"/>
  <c r="Q7" i="2"/>
  <c r="Q13" i="2"/>
  <c r="Q9" i="2"/>
  <c r="Q5" i="2"/>
  <c r="Q10" i="2"/>
  <c r="Q11" i="2"/>
  <c r="Q6" i="2"/>
  <c r="Q12" i="2"/>
  <c r="Q8" i="2"/>
  <c r="Q4" i="2"/>
  <c r="P13" i="2"/>
  <c r="P12" i="2"/>
  <c r="P11" i="2"/>
  <c r="P7" i="2"/>
  <c r="P10" i="2"/>
  <c r="P6" i="2"/>
  <c r="P9" i="2"/>
  <c r="P5" i="2"/>
  <c r="P8" i="2"/>
  <c r="P4" i="2"/>
  <c r="Q3" i="2"/>
  <c r="P3" i="2"/>
  <c r="L3" i="1"/>
  <c r="N7" i="1"/>
  <c r="O7" i="1" s="1"/>
  <c r="N5" i="1"/>
  <c r="O5" i="1" s="1"/>
  <c r="N6" i="1"/>
  <c r="O6" i="1" s="1"/>
  <c r="N9" i="1"/>
  <c r="O9" i="1" s="1"/>
  <c r="N8" i="1"/>
  <c r="O8" i="1" s="1"/>
  <c r="N4" i="1"/>
  <c r="O4" i="1" s="1"/>
  <c r="N3" i="1"/>
  <c r="O3" i="1" s="1"/>
  <c r="M3" i="1"/>
  <c r="M5" i="1"/>
  <c r="M7" i="1"/>
  <c r="M9" i="1"/>
  <c r="M6" i="1"/>
  <c r="M8" i="1"/>
  <c r="M4" i="1"/>
  <c r="L9" i="1"/>
  <c r="L7" i="1"/>
  <c r="L5" i="1"/>
  <c r="L6" i="1"/>
  <c r="L8" i="1"/>
  <c r="L4" i="1"/>
  <c r="A20" i="5" l="1" a="1"/>
  <c r="A20" i="5" s="1"/>
  <c r="A39" i="5" a="1"/>
  <c r="A39" i="5" s="1"/>
  <c r="A9" i="5" a="1"/>
  <c r="A9" i="5" s="1"/>
  <c r="A2" i="5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<sst xmlns="http://schemas.openxmlformats.org/spreadsheetml/2006/main" count="891" uniqueCount="279">
  <si>
    <t/>
  </si>
  <si>
    <t>Correlations</t>
  </si>
  <si>
    <t>MB1</t>
  </si>
  <si>
    <t>MB2</t>
  </si>
  <si>
    <t>MB3</t>
  </si>
  <si>
    <t>MB4</t>
  </si>
  <si>
    <t>MB5</t>
  </si>
  <si>
    <t>MB6</t>
  </si>
  <si>
    <t>MB7</t>
  </si>
  <si>
    <t>MB</t>
  </si>
  <si>
    <t>Pearson Correlation</t>
  </si>
  <si>
    <t>Sig. (2-tailed)</t>
  </si>
  <si>
    <t>N</t>
  </si>
  <si>
    <t>*. Correlation is significant at the 0.05 level (2-tailed).</t>
  </si>
  <si>
    <t>**. Correlation is significant at the 0.01 level (2-tailed).</t>
  </si>
  <si>
    <t>KP1</t>
  </si>
  <si>
    <t>KP2</t>
  </si>
  <si>
    <t>KP3</t>
  </si>
  <si>
    <t>KP4</t>
  </si>
  <si>
    <t>KP5</t>
  </si>
  <si>
    <t>KP6</t>
  </si>
  <si>
    <t>KP7</t>
  </si>
  <si>
    <t>KP8</t>
  </si>
  <si>
    <t>KP9</t>
  </si>
  <si>
    <t>KP10</t>
  </si>
  <si>
    <t>KP11</t>
  </si>
  <si>
    <t>KP</t>
  </si>
  <si>
    <r>
      <t>.758</t>
    </r>
    <r>
      <rPr>
        <vertAlign val="superscript"/>
        <sz val="9"/>
        <color indexed="60"/>
        <rFont val="Arial"/>
        <family val="2"/>
      </rPr>
      <t>**</t>
    </r>
  </si>
  <si>
    <r>
      <t>.504</t>
    </r>
    <r>
      <rPr>
        <vertAlign val="superscript"/>
        <sz val="9"/>
        <color indexed="60"/>
        <rFont val="Arial"/>
        <family val="2"/>
      </rPr>
      <t>**</t>
    </r>
  </si>
  <si>
    <r>
      <t>.402</t>
    </r>
    <r>
      <rPr>
        <vertAlign val="superscript"/>
        <sz val="9"/>
        <color indexed="60"/>
        <rFont val="Arial"/>
        <family val="2"/>
      </rPr>
      <t>*</t>
    </r>
  </si>
  <si>
    <r>
      <t>.581</t>
    </r>
    <r>
      <rPr>
        <vertAlign val="superscript"/>
        <sz val="9"/>
        <color indexed="60"/>
        <rFont val="Arial"/>
        <family val="2"/>
      </rPr>
      <t>**</t>
    </r>
  </si>
  <si>
    <r>
      <t>.606</t>
    </r>
    <r>
      <rPr>
        <vertAlign val="superscript"/>
        <sz val="9"/>
        <color indexed="60"/>
        <rFont val="Arial"/>
        <family val="2"/>
      </rPr>
      <t>**</t>
    </r>
  </si>
  <si>
    <r>
      <t>-.551</t>
    </r>
    <r>
      <rPr>
        <vertAlign val="superscript"/>
        <sz val="9"/>
        <color indexed="60"/>
        <rFont val="Arial"/>
        <family val="2"/>
      </rPr>
      <t>**</t>
    </r>
  </si>
  <si>
    <r>
      <t>-.411</t>
    </r>
    <r>
      <rPr>
        <vertAlign val="superscript"/>
        <sz val="9"/>
        <color indexed="60"/>
        <rFont val="Arial"/>
        <family val="2"/>
      </rPr>
      <t>*</t>
    </r>
  </si>
  <si>
    <r>
      <t>.525</t>
    </r>
    <r>
      <rPr>
        <vertAlign val="superscript"/>
        <sz val="9"/>
        <color indexed="60"/>
        <rFont val="Arial"/>
        <family val="2"/>
      </rPr>
      <t>**</t>
    </r>
  </si>
  <si>
    <r>
      <t>.541</t>
    </r>
    <r>
      <rPr>
        <vertAlign val="superscript"/>
        <sz val="9"/>
        <color indexed="60"/>
        <rFont val="Arial"/>
        <family val="2"/>
      </rPr>
      <t>**</t>
    </r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</si>
  <si>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</si>
  <si>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</si>
  <si>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</si>
  <si>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</si>
  <si>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</si>
  <si>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</si>
  <si>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</si>
  <si>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</si>
  <si>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</si>
  <si>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</si>
  <si>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</si>
  <si>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</si>
  <si>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BO13</t>
  </si>
  <si>
    <t>BO14</t>
  </si>
  <si>
    <t>BO15</t>
  </si>
  <si>
    <t>BO16</t>
  </si>
  <si>
    <t>BO17</t>
  </si>
  <si>
    <t>BO18</t>
  </si>
  <si>
    <t>BO19</t>
  </si>
  <si>
    <t>BO</t>
  </si>
  <si>
    <t>KiP1</t>
  </si>
  <si>
    <t>KiP2</t>
  </si>
  <si>
    <t>KiP3</t>
  </si>
  <si>
    <t>KiP4</t>
  </si>
  <si>
    <t>KiP5</t>
  </si>
  <si>
    <t>KiP6</t>
  </si>
  <si>
    <t>KiP7</t>
  </si>
  <si>
    <t>KiP8</t>
  </si>
  <si>
    <t>KiP9</t>
  </si>
  <si>
    <t>KiP10</t>
  </si>
  <si>
    <t>KiP11</t>
  </si>
  <si>
    <t>KiP12</t>
  </si>
  <si>
    <t>KiP13</t>
  </si>
  <si>
    <t>KiP</t>
  </si>
  <si>
    <t>Reliability Statistics</t>
  </si>
  <si>
    <t>Cronbach's Alpha</t>
  </si>
  <si>
    <t>N of Items</t>
  </si>
  <si>
    <t>Indikator</t>
  </si>
  <si>
    <t>Pearson</t>
  </si>
  <si>
    <t>p-value</t>
  </si>
  <si>
    <t>Keterangan</t>
  </si>
  <si>
    <t>0,438*</t>
  </si>
  <si>
    <t>0,573**</t>
  </si>
  <si>
    <t>0,451**</t>
  </si>
  <si>
    <t>0,365*</t>
  </si>
  <si>
    <t>0,369*</t>
  </si>
  <si>
    <t>0,661**</t>
  </si>
  <si>
    <t>0,626**</t>
  </si>
  <si>
    <t>0,480**</t>
  </si>
  <si>
    <t>0,494**</t>
  </si>
  <si>
    <t>0,407*</t>
  </si>
  <si>
    <t>0,715**</t>
  </si>
  <si>
    <t>0,443*</t>
  </si>
  <si>
    <t>0,444*</t>
  </si>
  <si>
    <t>0,487**</t>
  </si>
  <si>
    <t>0,765**</t>
  </si>
  <si>
    <t>0,499**</t>
  </si>
  <si>
    <t>0,717**</t>
  </si>
  <si>
    <t>0,433*</t>
  </si>
  <si>
    <t>0,466**</t>
  </si>
  <si>
    <t>0,667**</t>
  </si>
  <si>
    <t>0,405*</t>
  </si>
  <si>
    <t>0,688**</t>
  </si>
  <si>
    <t>0,742**</t>
  </si>
  <si>
    <t>0,758**</t>
  </si>
  <si>
    <t>0,504**</t>
  </si>
  <si>
    <t>0,402*</t>
  </si>
  <si>
    <t>0,581**</t>
  </si>
  <si>
    <t>0,606**</t>
  </si>
  <si>
    <t>-0,551**</t>
  </si>
  <si>
    <t>-0,411*</t>
  </si>
  <si>
    <t>0,525**</t>
  </si>
  <si>
    <t>0,541**</t>
  </si>
  <si>
    <t>0,491**</t>
  </si>
  <si>
    <t>0,569**</t>
  </si>
  <si>
    <t>0,812**</t>
  </si>
  <si>
    <t>-0,384*</t>
  </si>
  <si>
    <t>0,414*</t>
  </si>
  <si>
    <t>0,431*</t>
  </si>
  <si>
    <t>0,685**</t>
  </si>
  <si>
    <t>0,630**</t>
  </si>
  <si>
    <t>0,750**</t>
  </si>
  <si>
    <t>0,524**</t>
  </si>
  <si>
    <t>0,797**</t>
  </si>
  <si>
    <t>0,553**</t>
  </si>
  <si>
    <t>0,506**</t>
  </si>
  <si>
    <t>0,429*</t>
  </si>
  <si>
    <t>0,726**</t>
  </si>
  <si>
    <t>0,662**</t>
  </si>
  <si>
    <t>-0,416*</t>
  </si>
  <si>
    <t>-0,447*</t>
  </si>
  <si>
    <t>0,470**</t>
  </si>
  <si>
    <t>0,615**</t>
  </si>
  <si>
    <t>0,629**</t>
  </si>
  <si>
    <t>0,456**</t>
  </si>
  <si>
    <t>0,455**</t>
  </si>
  <si>
    <t>0,785**</t>
  </si>
  <si>
    <t>0,619**</t>
  </si>
  <si>
    <t>-0,622**</t>
  </si>
  <si>
    <t>-0,497**</t>
  </si>
  <si>
    <t>-0,468**</t>
  </si>
  <si>
    <t>0,465**</t>
  </si>
  <si>
    <t>0,644**</t>
  </si>
  <si>
    <t>0,741**</t>
  </si>
  <si>
    <t>0,508**</t>
  </si>
  <si>
    <t>0,620**</t>
  </si>
  <si>
    <t>0,376*</t>
  </si>
  <si>
    <t>0,462**</t>
  </si>
  <si>
    <t>0,403*</t>
  </si>
  <si>
    <t>0,434*</t>
  </si>
  <si>
    <t>0,699**</t>
  </si>
  <si>
    <t>0,430*</t>
  </si>
  <si>
    <t>0,357*</t>
  </si>
  <si>
    <t>0,678**</t>
  </si>
  <si>
    <t>0,361*</t>
  </si>
  <si>
    <t>0,394*</t>
  </si>
  <si>
    <t>0,426*</t>
  </si>
  <si>
    <t>0,359*</t>
  </si>
  <si>
    <t>0,520**</t>
  </si>
  <si>
    <t>0,495**</t>
  </si>
  <si>
    <t>0,419*</t>
  </si>
  <si>
    <t>0,412*</t>
  </si>
  <si>
    <t>0,360*</t>
  </si>
  <si>
    <t>0,600**</t>
  </si>
  <si>
    <t>0,624**</t>
  </si>
  <si>
    <t>0,549**</t>
  </si>
  <si>
    <t>0,496**</t>
  </si>
  <si>
    <t>0,570**</t>
  </si>
  <si>
    <t>0,556**</t>
  </si>
  <si>
    <t>0,473**</t>
  </si>
  <si>
    <t>0,517**</t>
  </si>
  <si>
    <t>0,738**</t>
  </si>
  <si>
    <t>0,652**</t>
  </si>
  <si>
    <t>0,721**</t>
  </si>
  <si>
    <t>0,548**</t>
  </si>
  <si>
    <t>0,596**</t>
  </si>
  <si>
    <t>0,550**</t>
  </si>
  <si>
    <t>0,572**</t>
  </si>
  <si>
    <t>0,464**</t>
  </si>
  <si>
    <t>0,489**</t>
  </si>
  <si>
    <t>0,586**</t>
  </si>
  <si>
    <t>0,576**</t>
  </si>
  <si>
    <t>0,558**</t>
  </si>
  <si>
    <t>0,703**</t>
  </si>
  <si>
    <t>0,432*</t>
  </si>
  <si>
    <t>0,514**</t>
  </si>
  <si>
    <t>0,654**</t>
  </si>
  <si>
    <t>0,683**</t>
  </si>
  <si>
    <t>0,614**</t>
  </si>
  <si>
    <t>0,533**</t>
  </si>
  <si>
    <t>0,542**</t>
  </si>
  <si>
    <t>0,522**</t>
  </si>
  <si>
    <t>0,535**</t>
  </si>
  <si>
    <t>0,633**</t>
  </si>
  <si>
    <t>0,382*</t>
  </si>
  <si>
    <t>0,704**</t>
  </si>
  <si>
    <t>0,669**</t>
  </si>
  <si>
    <t>0,590**</t>
  </si>
  <si>
    <t>0,510**</t>
  </si>
  <si>
    <t>0,406*</t>
  </si>
  <si>
    <t>0,441*</t>
  </si>
  <si>
    <t>0,538**</t>
  </si>
  <si>
    <t>0,401*</t>
  </si>
  <si>
    <t>0,483**</t>
  </si>
  <si>
    <t>0,521**</t>
  </si>
  <si>
    <t>0,707**</t>
  </si>
  <si>
    <t>0,373*</t>
  </si>
  <si>
    <t>0,452**</t>
  </si>
  <si>
    <t>0,416*</t>
  </si>
  <si>
    <t>0,527**</t>
  </si>
  <si>
    <t>0,398*</t>
  </si>
  <si>
    <t>0,851**</t>
  </si>
  <si>
    <t>0,755**</t>
  </si>
  <si>
    <t>0,423*</t>
  </si>
  <si>
    <t>0,605**</t>
  </si>
  <si>
    <t>0,476**</t>
  </si>
  <si>
    <t>0,867**</t>
  </si>
  <si>
    <t>0,831**</t>
  </si>
  <si>
    <t>0,725**</t>
  </si>
  <si>
    <t>0,354*</t>
  </si>
  <si>
    <t>0,385*</t>
  </si>
  <si>
    <t>0,587**</t>
  </si>
  <si>
    <t>0,610**</t>
  </si>
  <si>
    <t>0,512**</t>
  </si>
  <si>
    <t>0,554**</t>
  </si>
  <si>
    <t>0,445*</t>
  </si>
  <si>
    <t>0,650**</t>
  </si>
  <si>
    <t>0,670**</t>
  </si>
  <si>
    <t>0,500**</t>
  </si>
  <si>
    <t>0,371*</t>
  </si>
  <si>
    <t>0,737**</t>
  </si>
  <si>
    <t>0,830**</t>
  </si>
  <si>
    <t>0,848**</t>
  </si>
  <si>
    <t>0,817**</t>
  </si>
  <si>
    <t>0,778**</t>
  </si>
  <si>
    <t>0,649**</t>
  </si>
  <si>
    <t>0,646**</t>
  </si>
  <si>
    <t>0,694**</t>
  </si>
  <si>
    <t>0,682**</t>
  </si>
  <si>
    <t>0,728**</t>
  </si>
  <si>
    <t>0,740**</t>
  </si>
  <si>
    <t>0,674**</t>
  </si>
  <si>
    <t>0,745**</t>
  </si>
  <si>
    <t>0,706**</t>
  </si>
  <si>
    <t>0,485**</t>
  </si>
  <si>
    <t>0,578**</t>
  </si>
  <si>
    <t>-0,429*</t>
  </si>
  <si>
    <t>0,409*</t>
  </si>
  <si>
    <t>0,392*</t>
  </si>
  <si>
    <t>0,395*</t>
  </si>
  <si>
    <t>0,719**</t>
  </si>
  <si>
    <t>0,701**</t>
  </si>
  <si>
    <t>0,482**</t>
  </si>
  <si>
    <t>0,604**</t>
  </si>
  <si>
    <t>-0,507**</t>
  </si>
  <si>
    <t>0,536**</t>
  </si>
  <si>
    <t>0,564**</t>
  </si>
  <si>
    <t>0,658**</t>
  </si>
  <si>
    <t>0,537**</t>
  </si>
  <si>
    <t>0,899**</t>
  </si>
  <si>
    <t>0,488**</t>
  </si>
  <si>
    <t>0,515**</t>
  </si>
  <si>
    <t>-0,351*</t>
  </si>
  <si>
    <t>0,417*</t>
  </si>
  <si>
    <t>0,638**</t>
  </si>
  <si>
    <t>0,603**</t>
  </si>
  <si>
    <t>0,571**</t>
  </si>
  <si>
    <t>0,768**</t>
  </si>
  <si>
    <t>0,479**</t>
  </si>
  <si>
    <t>0,418*</t>
  </si>
  <si>
    <t>0,695**</t>
  </si>
  <si>
    <t>0,381*</t>
  </si>
  <si>
    <t>0,493**</t>
  </si>
  <si>
    <t>0,543**</t>
  </si>
  <si>
    <t>0,760**</t>
  </si>
  <si>
    <t>-0,378*</t>
  </si>
  <si>
    <t>-0,375*</t>
  </si>
  <si>
    <t>0,780**</t>
  </si>
  <si>
    <t>0,696**</t>
  </si>
  <si>
    <t>0,442*</t>
  </si>
  <si>
    <t>0,882**</t>
  </si>
  <si>
    <t>0,625**</t>
  </si>
  <si>
    <t>Variabel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</si>
</sst>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vertAlign val="superscript"/>
      <sz val="9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7">
    <xf numFmtId="0" fontId="0" fillId="0" borderId="0" xfId="0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6" xfId="1" applyFont="1" applyFill="1" applyBorder="1" applyAlignment="1">
      <alignment horizontal="left" vertical="top" wrapText="1"/>
    </xf>
    <xf numFmtId="164" fontId="4" fillId="0" borderId="7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165" fontId="4" fillId="0" borderId="8" xfId="1" applyNumberFormat="1" applyFont="1" applyBorder="1" applyAlignment="1">
      <alignment horizontal="right" vertical="top"/>
    </xf>
    <xf numFmtId="0" fontId="4" fillId="0" borderId="9" xfId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165" fontId="4" fillId="0" borderId="12" xfId="1" applyNumberFormat="1" applyFont="1" applyBorder="1" applyAlignment="1">
      <alignment horizontal="right" vertical="top"/>
    </xf>
    <xf numFmtId="165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164" fontId="4" fillId="0" borderId="15" xfId="1" applyNumberFormat="1" applyFont="1" applyBorder="1" applyAlignment="1">
      <alignment horizontal="right" vertical="top"/>
    </xf>
    <xf numFmtId="164" fontId="4" fillId="0" borderId="16" xfId="1" applyNumberFormat="1" applyFont="1" applyBorder="1" applyAlignment="1">
      <alignment horizontal="right" vertical="top"/>
    </xf>
    <xf numFmtId="164" fontId="4" fillId="0" borderId="17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164" fontId="4" fillId="0" borderId="12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165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left" vertical="top" wrapText="1"/>
    </xf>
    <xf numFmtId="164" fontId="4" fillId="0" borderId="13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1" xfId="1" applyNumberFormat="1" applyFont="1" applyBorder="1" applyAlignment="1">
      <alignment horizontal="right" vertical="top"/>
    </xf>
    <xf numFmtId="0" fontId="1" fillId="0" borderId="0" xfId="2"/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2" borderId="6" xfId="2" applyFont="1" applyFill="1" applyBorder="1" applyAlignment="1">
      <alignment horizontal="left" vertical="top" wrapText="1"/>
    </xf>
    <xf numFmtId="164" fontId="4" fillId="0" borderId="7" xfId="2" applyNumberFormat="1" applyFont="1" applyBorder="1" applyAlignment="1">
      <alignment horizontal="right" vertical="top"/>
    </xf>
    <xf numFmtId="0" fontId="4" fillId="0" borderId="8" xfId="2" applyFont="1" applyBorder="1" applyAlignment="1">
      <alignment horizontal="right" vertical="top"/>
    </xf>
    <xf numFmtId="165" fontId="4" fillId="0" borderId="8" xfId="2" applyNumberFormat="1" applyFont="1" applyBorder="1" applyAlignment="1">
      <alignment horizontal="right" vertical="top"/>
    </xf>
    <xf numFmtId="0" fontId="4" fillId="0" borderId="9" xfId="2" applyFont="1" applyBorder="1" applyAlignment="1">
      <alignment horizontal="right" vertical="top"/>
    </xf>
    <xf numFmtId="0" fontId="3" fillId="2" borderId="10" xfId="2" applyFont="1" applyFill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5" fontId="4" fillId="0" borderId="12" xfId="2" applyNumberFormat="1" applyFont="1" applyBorder="1" applyAlignment="1">
      <alignment horizontal="right" vertical="top"/>
    </xf>
    <xf numFmtId="165" fontId="4" fillId="0" borderId="13" xfId="2" applyNumberFormat="1" applyFont="1" applyBorder="1" applyAlignment="1">
      <alignment horizontal="right" vertical="top"/>
    </xf>
    <xf numFmtId="0" fontId="3" fillId="2" borderId="14" xfId="2" applyFont="1" applyFill="1" applyBorder="1" applyAlignment="1">
      <alignment horizontal="left" vertical="top" wrapText="1"/>
    </xf>
    <xf numFmtId="164" fontId="4" fillId="0" borderId="15" xfId="2" applyNumberFormat="1" applyFont="1" applyBorder="1" applyAlignment="1">
      <alignment horizontal="right" vertical="top"/>
    </xf>
    <xf numFmtId="164" fontId="4" fillId="0" borderId="16" xfId="2" applyNumberFormat="1" applyFont="1" applyBorder="1" applyAlignment="1">
      <alignment horizontal="right" vertical="top"/>
    </xf>
    <xf numFmtId="164" fontId="4" fillId="0" borderId="17" xfId="2" applyNumberFormat="1" applyFont="1" applyBorder="1" applyAlignment="1">
      <alignment horizontal="right" vertical="top"/>
    </xf>
    <xf numFmtId="0" fontId="4" fillId="0" borderId="11" xfId="2" applyFont="1" applyBorder="1" applyAlignment="1">
      <alignment horizontal="right" vertical="top"/>
    </xf>
    <xf numFmtId="164" fontId="4" fillId="0" borderId="12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right" vertical="top"/>
    </xf>
    <xf numFmtId="0" fontId="4" fillId="0" borderId="13" xfId="2" applyFont="1" applyBorder="1" applyAlignment="1">
      <alignment horizontal="right" vertical="top"/>
    </xf>
    <xf numFmtId="165" fontId="4" fillId="0" borderId="11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left" vertical="top" wrapText="1"/>
    </xf>
    <xf numFmtId="164" fontId="4" fillId="0" borderId="13" xfId="2" applyNumberFormat="1" applyFont="1" applyBorder="1" applyAlignment="1">
      <alignment horizontal="right" vertical="top"/>
    </xf>
    <xf numFmtId="0" fontId="4" fillId="0" borderId="13" xfId="2" applyFont="1" applyBorder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164" fontId="4" fillId="0" borderId="19" xfId="2" applyNumberFormat="1" applyFont="1" applyBorder="1" applyAlignment="1">
      <alignment horizontal="right" vertical="top"/>
    </xf>
    <xf numFmtId="164" fontId="4" fillId="0" borderId="20" xfId="2" applyNumberFormat="1" applyFont="1" applyBorder="1" applyAlignment="1">
      <alignment horizontal="right" vertical="top"/>
    </xf>
    <xf numFmtId="164" fontId="4" fillId="0" borderId="21" xfId="2" applyNumberFormat="1" applyFont="1" applyBorder="1" applyAlignment="1">
      <alignment horizontal="right" vertical="top"/>
    </xf>
    <xf numFmtId="0" fontId="1" fillId="0" borderId="0" xfId="3"/>
    <xf numFmtId="0" fontId="3" fillId="0" borderId="2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3" fillId="0" borderId="4" xfId="3" applyFont="1" applyBorder="1" applyAlignment="1">
      <alignment horizontal="center" wrapText="1"/>
    </xf>
    <xf numFmtId="0" fontId="3" fillId="2" borderId="6" xfId="3" applyFont="1" applyFill="1" applyBorder="1" applyAlignment="1">
      <alignment horizontal="left" vertical="top" wrapText="1"/>
    </xf>
    <xf numFmtId="164" fontId="4" fillId="0" borderId="7" xfId="3" applyNumberFormat="1" applyFont="1" applyBorder="1" applyAlignment="1">
      <alignment horizontal="right" vertical="top"/>
    </xf>
    <xf numFmtId="0" fontId="4" fillId="0" borderId="8" xfId="3" applyFont="1" applyBorder="1" applyAlignment="1">
      <alignment horizontal="right" vertical="top"/>
    </xf>
    <xf numFmtId="165" fontId="4" fillId="0" borderId="8" xfId="3" applyNumberFormat="1" applyFont="1" applyBorder="1" applyAlignment="1">
      <alignment horizontal="right" vertical="top"/>
    </xf>
    <xf numFmtId="0" fontId="4" fillId="0" borderId="9" xfId="3" applyFont="1" applyBorder="1" applyAlignment="1">
      <alignment horizontal="right" vertical="top"/>
    </xf>
    <xf numFmtId="0" fontId="3" fillId="2" borderId="10" xfId="3" applyFont="1" applyFill="1" applyBorder="1" applyAlignment="1">
      <alignment horizontal="left" vertical="top" wrapText="1"/>
    </xf>
    <xf numFmtId="0" fontId="4" fillId="0" borderId="11" xfId="3" applyFont="1" applyBorder="1" applyAlignment="1">
      <alignment horizontal="left" vertical="top" wrapText="1"/>
    </xf>
    <xf numFmtId="165" fontId="4" fillId="0" borderId="12" xfId="3" applyNumberFormat="1" applyFont="1" applyBorder="1" applyAlignment="1">
      <alignment horizontal="right" vertical="top"/>
    </xf>
    <xf numFmtId="165" fontId="4" fillId="0" borderId="13" xfId="3" applyNumberFormat="1" applyFont="1" applyBorder="1" applyAlignment="1">
      <alignment horizontal="right" vertical="top"/>
    </xf>
    <xf numFmtId="0" fontId="3" fillId="2" borderId="14" xfId="3" applyFont="1" applyFill="1" applyBorder="1" applyAlignment="1">
      <alignment horizontal="left" vertical="top" wrapText="1"/>
    </xf>
    <xf numFmtId="164" fontId="4" fillId="0" borderId="15" xfId="3" applyNumberFormat="1" applyFont="1" applyBorder="1" applyAlignment="1">
      <alignment horizontal="right" vertical="top"/>
    </xf>
    <xf numFmtId="164" fontId="4" fillId="0" borderId="16" xfId="3" applyNumberFormat="1" applyFont="1" applyBorder="1" applyAlignment="1">
      <alignment horizontal="right" vertical="top"/>
    </xf>
    <xf numFmtId="164" fontId="4" fillId="0" borderId="17" xfId="3" applyNumberFormat="1" applyFont="1" applyBorder="1" applyAlignment="1">
      <alignment horizontal="right" vertical="top"/>
    </xf>
    <xf numFmtId="0" fontId="4" fillId="0" borderId="11" xfId="3" applyFont="1" applyBorder="1" applyAlignment="1">
      <alignment horizontal="right" vertical="top"/>
    </xf>
    <xf numFmtId="164" fontId="4" fillId="0" borderId="12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right" vertical="top"/>
    </xf>
    <xf numFmtId="0" fontId="4" fillId="0" borderId="13" xfId="3" applyFont="1" applyBorder="1" applyAlignment="1">
      <alignment horizontal="right" vertical="top"/>
    </xf>
    <xf numFmtId="165" fontId="4" fillId="0" borderId="11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left" vertical="top" wrapText="1"/>
    </xf>
    <xf numFmtId="164" fontId="4" fillId="0" borderId="13" xfId="3" applyNumberFormat="1" applyFont="1" applyBorder="1" applyAlignment="1">
      <alignment horizontal="right" vertical="top"/>
    </xf>
    <xf numFmtId="0" fontId="4" fillId="0" borderId="13" xfId="3" applyFont="1" applyBorder="1" applyAlignment="1">
      <alignment horizontal="left" vertical="top" wrapText="1"/>
    </xf>
    <xf numFmtId="0" fontId="3" fillId="2" borderId="18" xfId="3" applyFont="1" applyFill="1" applyBorder="1" applyAlignment="1">
      <alignment horizontal="left" vertical="top" wrapText="1"/>
    </xf>
    <xf numFmtId="164" fontId="4" fillId="0" borderId="19" xfId="3" applyNumberFormat="1" applyFont="1" applyBorder="1" applyAlignment="1">
      <alignment horizontal="right" vertical="top"/>
    </xf>
    <xf numFmtId="164" fontId="4" fillId="0" borderId="20" xfId="3" applyNumberFormat="1" applyFont="1" applyBorder="1" applyAlignment="1">
      <alignment horizontal="right" vertical="top"/>
    </xf>
    <xf numFmtId="164" fontId="4" fillId="0" borderId="21" xfId="3" applyNumberFormat="1" applyFont="1" applyBorder="1" applyAlignment="1">
      <alignment horizontal="right" vertical="top"/>
    </xf>
    <xf numFmtId="0" fontId="1" fillId="0" borderId="0" xfId="4"/>
    <xf numFmtId="0" fontId="3" fillId="0" borderId="2" xfId="4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0" fontId="3" fillId="0" borderId="4" xfId="4" applyFont="1" applyBorder="1" applyAlignment="1">
      <alignment horizontal="center" wrapText="1"/>
    </xf>
    <xf numFmtId="0" fontId="3" fillId="2" borderId="6" xfId="4" applyFont="1" applyFill="1" applyBorder="1" applyAlignment="1">
      <alignment horizontal="left" vertical="top" wrapText="1"/>
    </xf>
    <xf numFmtId="164" fontId="4" fillId="0" borderId="7" xfId="4" applyNumberFormat="1" applyFont="1" applyBorder="1" applyAlignment="1">
      <alignment horizontal="right" vertical="top"/>
    </xf>
    <xf numFmtId="0" fontId="4" fillId="0" borderId="8" xfId="4" applyFont="1" applyBorder="1" applyAlignment="1">
      <alignment horizontal="right" vertical="top"/>
    </xf>
    <xf numFmtId="165" fontId="4" fillId="0" borderId="8" xfId="4" applyNumberFormat="1" applyFont="1" applyBorder="1" applyAlignment="1">
      <alignment horizontal="right" vertical="top"/>
    </xf>
    <xf numFmtId="0" fontId="4" fillId="0" borderId="9" xfId="4" applyFont="1" applyBorder="1" applyAlignment="1">
      <alignment horizontal="right" vertical="top"/>
    </xf>
    <xf numFmtId="0" fontId="3" fillId="2" borderId="10" xfId="4" applyFont="1" applyFill="1" applyBorder="1" applyAlignment="1">
      <alignment horizontal="left" vertical="top" wrapText="1"/>
    </xf>
    <xf numFmtId="0" fontId="4" fillId="0" borderId="11" xfId="4" applyFont="1" applyBorder="1" applyAlignment="1">
      <alignment horizontal="left" vertical="top" wrapText="1"/>
    </xf>
    <xf numFmtId="165" fontId="4" fillId="0" borderId="12" xfId="4" applyNumberFormat="1" applyFont="1" applyBorder="1" applyAlignment="1">
      <alignment horizontal="right" vertical="top"/>
    </xf>
    <xf numFmtId="165" fontId="4" fillId="0" borderId="13" xfId="4" applyNumberFormat="1" applyFont="1" applyBorder="1" applyAlignment="1">
      <alignment horizontal="right" vertical="top"/>
    </xf>
    <xf numFmtId="0" fontId="3" fillId="2" borderId="14" xfId="4" applyFont="1" applyFill="1" applyBorder="1" applyAlignment="1">
      <alignment horizontal="left" vertical="top" wrapText="1"/>
    </xf>
    <xf numFmtId="164" fontId="4" fillId="0" borderId="15" xfId="4" applyNumberFormat="1" applyFont="1" applyBorder="1" applyAlignment="1">
      <alignment horizontal="right" vertical="top"/>
    </xf>
    <xf numFmtId="164" fontId="4" fillId="0" borderId="16" xfId="4" applyNumberFormat="1" applyFont="1" applyBorder="1" applyAlignment="1">
      <alignment horizontal="right" vertical="top"/>
    </xf>
    <xf numFmtId="164" fontId="4" fillId="0" borderId="17" xfId="4" applyNumberFormat="1" applyFont="1" applyBorder="1" applyAlignment="1">
      <alignment horizontal="right" vertical="top"/>
    </xf>
    <xf numFmtId="0" fontId="4" fillId="0" borderId="11" xfId="4" applyFont="1" applyBorder="1" applyAlignment="1">
      <alignment horizontal="right" vertical="top"/>
    </xf>
    <xf numFmtId="164" fontId="4" fillId="0" borderId="12" xfId="4" applyNumberFormat="1" applyFont="1" applyBorder="1" applyAlignment="1">
      <alignment horizontal="right" vertical="top"/>
    </xf>
    <xf numFmtId="0" fontId="4" fillId="0" borderId="12" xfId="4" applyFont="1" applyBorder="1" applyAlignment="1">
      <alignment horizontal="right" vertical="top"/>
    </xf>
    <xf numFmtId="0" fontId="4" fillId="0" borderId="13" xfId="4" applyFont="1" applyBorder="1" applyAlignment="1">
      <alignment horizontal="right" vertical="top"/>
    </xf>
    <xf numFmtId="165" fontId="4" fillId="0" borderId="11" xfId="4" applyNumberFormat="1" applyFont="1" applyBorder="1" applyAlignment="1">
      <alignment horizontal="right" vertical="top"/>
    </xf>
    <xf numFmtId="0" fontId="4" fillId="0" borderId="12" xfId="4" applyFont="1" applyBorder="1" applyAlignment="1">
      <alignment horizontal="left" vertical="top" wrapText="1"/>
    </xf>
    <xf numFmtId="164" fontId="4" fillId="0" borderId="13" xfId="4" applyNumberFormat="1" applyFont="1" applyBorder="1" applyAlignment="1">
      <alignment horizontal="right" vertical="top"/>
    </xf>
    <xf numFmtId="0" fontId="4" fillId="0" borderId="13" xfId="4" applyFont="1" applyBorder="1" applyAlignment="1">
      <alignment horizontal="left" vertical="top" wrapText="1"/>
    </xf>
    <xf numFmtId="0" fontId="3" fillId="2" borderId="18" xfId="4" applyFont="1" applyFill="1" applyBorder="1" applyAlignment="1">
      <alignment horizontal="left" vertical="top" wrapText="1"/>
    </xf>
    <xf numFmtId="164" fontId="4" fillId="0" borderId="19" xfId="4" applyNumberFormat="1" applyFont="1" applyBorder="1" applyAlignment="1">
      <alignment horizontal="right" vertical="top"/>
    </xf>
    <xf numFmtId="164" fontId="4" fillId="0" borderId="20" xfId="4" applyNumberFormat="1" applyFont="1" applyBorder="1" applyAlignment="1">
      <alignment horizontal="right" vertical="top"/>
    </xf>
    <xf numFmtId="164" fontId="4" fillId="0" borderId="21" xfId="4" applyNumberFormat="1" applyFont="1" applyBorder="1" applyAlignment="1">
      <alignment horizontal="right" vertical="top"/>
    </xf>
    <xf numFmtId="165" fontId="4" fillId="0" borderId="22" xfId="1" applyNumberFormat="1" applyFont="1" applyBorder="1" applyAlignment="1">
      <alignment horizontal="right" vertical="top"/>
    </xf>
    <xf numFmtId="164" fontId="4" fillId="0" borderId="23" xfId="1" applyNumberFormat="1" applyFont="1" applyBorder="1" applyAlignment="1">
      <alignment horizontal="right" vertical="top"/>
    </xf>
    <xf numFmtId="165" fontId="4" fillId="0" borderId="22" xfId="2" applyNumberFormat="1" applyFont="1" applyBorder="1" applyAlignment="1">
      <alignment horizontal="right" vertical="top"/>
    </xf>
    <xf numFmtId="164" fontId="4" fillId="0" borderId="23" xfId="2" applyNumberFormat="1" applyFont="1" applyBorder="1" applyAlignment="1">
      <alignment horizontal="right" vertical="top"/>
    </xf>
    <xf numFmtId="165" fontId="4" fillId="0" borderId="22" xfId="3" applyNumberFormat="1" applyFont="1" applyBorder="1" applyAlignment="1">
      <alignment horizontal="right" vertical="top"/>
    </xf>
    <xf numFmtId="164" fontId="4" fillId="0" borderId="23" xfId="3" applyNumberFormat="1" applyFont="1" applyBorder="1" applyAlignment="1">
      <alignment horizontal="right" vertical="top"/>
    </xf>
    <xf numFmtId="165" fontId="4" fillId="0" borderId="22" xfId="4" applyNumberFormat="1" applyFont="1" applyBorder="1" applyAlignment="1">
      <alignment horizontal="right" vertical="top"/>
    </xf>
    <xf numFmtId="164" fontId="4" fillId="0" borderId="23" xfId="4" applyNumberFormat="1" applyFont="1" applyBorder="1" applyAlignment="1">
      <alignment horizontal="right" vertical="top"/>
    </xf>
    <xf numFmtId="0" fontId="3" fillId="0" borderId="0" xfId="1" applyFont="1" applyAlignment="1">
      <alignment horizontal="center" wrapText="1"/>
    </xf>
    <xf numFmtId="165" fontId="0" fillId="0" borderId="0" xfId="0" applyNumberFormat="1"/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0" fontId="3" fillId="2" borderId="10" xfId="2" applyFont="1" applyFill="1" applyBorder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2" fillId="0" borderId="0" xfId="2" applyFont="1" applyAlignment="1">
      <alignment horizontal="center" vertical="center" wrapText="1"/>
    </xf>
    <xf numFmtId="0" fontId="3" fillId="0" borderId="1" xfId="2" applyFont="1" applyBorder="1" applyAlignment="1">
      <alignment horizontal="left" wrapText="1"/>
    </xf>
    <xf numFmtId="0" fontId="3" fillId="2" borderId="5" xfId="2" applyFont="1" applyFill="1" applyBorder="1" applyAlignment="1">
      <alignment horizontal="left" vertical="top" wrapText="1"/>
    </xf>
    <xf numFmtId="0" fontId="3" fillId="2" borderId="14" xfId="3" applyFont="1" applyFill="1" applyBorder="1" applyAlignment="1">
      <alignment horizontal="left" vertical="top" wrapText="1"/>
    </xf>
    <xf numFmtId="0" fontId="3" fillId="2" borderId="10" xfId="3" applyFont="1" applyFill="1" applyBorder="1" applyAlignment="1">
      <alignment horizontal="left" vertical="top" wrapText="1"/>
    </xf>
    <xf numFmtId="0" fontId="4" fillId="0" borderId="0" xfId="3" applyFont="1" applyAlignment="1">
      <alignment horizontal="left" vertical="top" wrapText="1"/>
    </xf>
    <xf numFmtId="0" fontId="2" fillId="0" borderId="0" xfId="3" applyFont="1" applyAlignment="1">
      <alignment horizontal="center" vertical="center" wrapText="1"/>
    </xf>
    <xf numFmtId="0" fontId="3" fillId="2" borderId="18" xfId="3" applyFont="1" applyFill="1" applyBorder="1" applyAlignment="1">
      <alignment horizontal="left" vertical="top" wrapText="1"/>
    </xf>
    <xf numFmtId="0" fontId="3" fillId="0" borderId="1" xfId="3" applyFont="1" applyBorder="1" applyAlignment="1">
      <alignment horizontal="left" wrapText="1"/>
    </xf>
    <xf numFmtId="0" fontId="3" fillId="2" borderId="5" xfId="3" applyFont="1" applyFill="1" applyBorder="1" applyAlignment="1">
      <alignment horizontal="left" vertical="top" wrapText="1"/>
    </xf>
    <xf numFmtId="0" fontId="4" fillId="0" borderId="0" xfId="4" applyFont="1" applyAlignment="1">
      <alignment horizontal="left" vertical="top" wrapText="1"/>
    </xf>
    <xf numFmtId="0" fontId="3" fillId="2" borderId="14" xfId="4" applyFont="1" applyFill="1" applyBorder="1" applyAlignment="1">
      <alignment horizontal="left" vertical="top" wrapText="1"/>
    </xf>
    <xf numFmtId="0" fontId="3" fillId="2" borderId="10" xfId="4" applyFont="1" applyFill="1" applyBorder="1" applyAlignment="1">
      <alignment horizontal="left" vertical="top" wrapText="1"/>
    </xf>
    <xf numFmtId="0" fontId="2" fillId="0" borderId="0" xfId="4" applyFont="1" applyAlignment="1">
      <alignment horizontal="center" vertical="center" wrapText="1"/>
    </xf>
    <xf numFmtId="0" fontId="3" fillId="2" borderId="18" xfId="4" applyFont="1" applyFill="1" applyBorder="1" applyAlignment="1">
      <alignment horizontal="left" vertical="top" wrapText="1"/>
    </xf>
    <xf numFmtId="0" fontId="3" fillId="0" borderId="1" xfId="4" applyFont="1" applyBorder="1" applyAlignment="1">
      <alignment horizontal="left" wrapText="1"/>
    </xf>
    <xf numFmtId="0" fontId="3" fillId="2" borderId="5" xfId="4" applyFont="1" applyFill="1" applyBorder="1" applyAlignment="1">
      <alignment horizontal="left" vertical="top" wrapText="1"/>
    </xf>
    <xf numFmtId="0" fontId="0" fillId="0" borderId="24" xfId="0" applyBorder="1"/>
    <xf numFmtId="0" fontId="3" fillId="0" borderId="25" xfId="1" applyFont="1" applyBorder="1" applyAlignment="1">
      <alignment horizontal="center" wrapText="1"/>
    </xf>
  </cellXfs>
  <cellStyles count="5">
    <cellStyle name="Normal" xfId="0" builtinId="0"/>
    <cellStyle name="Normal_Budaya Organisasi" xfId="3" xr:uid="{D0D24518-FBFF-4CF4-AC32-9CE0A188DD70}"/>
    <cellStyle name="Normal_Kinerja Pegawai" xfId="4" xr:uid="{34AC0681-F616-4F6C-A58C-74F3C20EB45D}"/>
    <cellStyle name="Normal_Komitmen Pegawai" xfId="2" xr:uid="{B7BD5494-21D9-4B22-BC23-9090553B4E97}"/>
    <cellStyle name="Normal_Motivasi Berpretasi" xfId="1" xr:uid="{9A8E0BC1-95B2-4A37-B16F-842A3D6F7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F7DC-6FE6-495E-AAA9-65252EC27D49}">
  <dimension ref="A1:U28"/>
  <sheetViews>
    <sheetView topLeftCell="K1" workbookViewId="0">
      <selection activeCell="Q6" sqref="Q6"/>
    </sheetView>
  </sheetViews>
  <sheetFormatPr defaultRowHeight="14.5" x14ac:dyDescent="0.35"/>
  <cols>
    <col min="14" max="14" width="10.81640625" bestFit="1" customWidth="1"/>
  </cols>
  <sheetData>
    <row r="1" spans="1:21" x14ac:dyDescent="0.35">
      <c r="A1" s="128" t="s">
        <v>1</v>
      </c>
      <c r="B1" s="128"/>
      <c r="C1" s="128"/>
      <c r="D1" s="128"/>
      <c r="E1" s="128"/>
      <c r="F1" s="128"/>
      <c r="G1" s="128"/>
      <c r="H1" s="128"/>
      <c r="I1" s="128"/>
      <c r="J1" s="128"/>
      <c r="K1" s="1"/>
      <c r="Q1" s="128" t="s">
        <v>70</v>
      </c>
      <c r="R1" s="128"/>
      <c r="S1" s="1"/>
    </row>
    <row r="2" spans="1:21" ht="24" x14ac:dyDescent="0.35">
      <c r="A2" s="129" t="s">
        <v>0</v>
      </c>
      <c r="B2" s="129"/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1"/>
      <c r="L2" s="125" t="s">
        <v>73</v>
      </c>
      <c r="M2" s="125" t="s">
        <v>74</v>
      </c>
      <c r="N2" s="125" t="s">
        <v>75</v>
      </c>
      <c r="O2" s="125" t="s">
        <v>76</v>
      </c>
      <c r="Q2" s="2" t="s">
        <v>71</v>
      </c>
      <c r="R2" s="4" t="s">
        <v>72</v>
      </c>
      <c r="S2" s="1"/>
      <c r="T2" s="125" t="s">
        <v>71</v>
      </c>
      <c r="U2" s="125" t="s">
        <v>76</v>
      </c>
    </row>
    <row r="3" spans="1:21" ht="34.5" x14ac:dyDescent="0.35">
      <c r="A3" s="130" t="s">
        <v>2</v>
      </c>
      <c r="B3" s="5" t="s">
        <v>10</v>
      </c>
      <c r="C3" s="6">
        <v>1</v>
      </c>
      <c r="D3" s="7" t="s">
        <v>77</v>
      </c>
      <c r="E3" s="7" t="s">
        <v>78</v>
      </c>
      <c r="F3" s="7" t="s">
        <v>79</v>
      </c>
      <c r="G3" s="8">
        <v>0.21947564065307354</v>
      </c>
      <c r="H3" s="7" t="s">
        <v>80</v>
      </c>
      <c r="I3" s="7" t="s">
        <v>81</v>
      </c>
      <c r="J3" s="9" t="s">
        <v>82</v>
      </c>
      <c r="K3" s="1"/>
      <c r="L3" t="str" cm="1">
        <f t="array" aca="1" ref="L3" ca="1">INDIRECT("A" &amp; (ROW(L1)*3))</f>
        <v>MB1</v>
      </c>
      <c r="M3" t="str" cm="1">
        <f t="array" aca="1" ref="M3" ca="1">INDIRECT("J" &amp; (ROW(L1)*3))</f>
        <v>0,661**</v>
      </c>
      <c r="N3" cm="1">
        <f t="array" aca="1" ref="N3" ca="1">INDIRECT("J" &amp; (ROW(L1)*3+1))</f>
        <v>3.8224994322311687E-5</v>
      </c>
      <c r="O3" t="str">
        <f ca="1">IF(N3&lt;0.05,"Valid","Tidak Valid")</f>
        <v>Valid</v>
      </c>
      <c r="Q3" s="117">
        <v>0.8265776699029127</v>
      </c>
      <c r="R3" s="118">
        <v>7</v>
      </c>
      <c r="S3" s="1"/>
      <c r="T3" s="126">
        <f>Q3</f>
        <v>0.8265776699029127</v>
      </c>
      <c r="U3" t="str">
        <f>IF(T3&gt;0.6,"Reliabel","Tidak Reliabel")</f>
        <v>Reliabel</v>
      </c>
    </row>
    <row r="4" spans="1:21" ht="23" x14ac:dyDescent="0.35">
      <c r="A4" s="131"/>
      <c r="B4" s="10" t="s">
        <v>11</v>
      </c>
      <c r="C4" s="11"/>
      <c r="D4" s="12">
        <v>1.208929574398423E-2</v>
      </c>
      <c r="E4" s="12">
        <v>6.1448988064444698E-4</v>
      </c>
      <c r="F4" s="12">
        <v>9.6578020873148204E-3</v>
      </c>
      <c r="G4" s="12">
        <v>0.22745953178988018</v>
      </c>
      <c r="H4" s="12">
        <v>3.973602582769991E-2</v>
      </c>
      <c r="I4" s="12">
        <v>3.7432046607640108E-2</v>
      </c>
      <c r="J4" s="13">
        <v>3.8224994322311687E-5</v>
      </c>
      <c r="K4" s="1"/>
      <c r="L4" t="str" cm="1">
        <f t="array" aca="1" ref="L4" ca="1">INDIRECT("A" &amp; (ROW(L2)*3))</f>
        <v>MB2</v>
      </c>
      <c r="M4" t="str" cm="1">
        <f t="array" aca="1" ref="M4" ca="1">INDIRECT("J" &amp; (ROW(L2)*3))</f>
        <v>0,715**</v>
      </c>
      <c r="N4" cm="1">
        <f t="array" aca="1" ref="N4" ca="1">INDIRECT("J" &amp; (ROW(L2)*3+1))</f>
        <v>4.3223370937272937E-6</v>
      </c>
      <c r="O4" t="str">
        <f t="shared" ref="O4:O9" ca="1" si="0">IF(N4&lt;0.05,"Valid","Tidak Valid")</f>
        <v>Valid</v>
      </c>
    </row>
    <row r="5" spans="1:21" x14ac:dyDescent="0.35">
      <c r="A5" s="132"/>
      <c r="B5" s="14" t="s">
        <v>12</v>
      </c>
      <c r="C5" s="15">
        <v>32</v>
      </c>
      <c r="D5" s="16">
        <v>32</v>
      </c>
      <c r="E5" s="16">
        <v>32</v>
      </c>
      <c r="F5" s="16">
        <v>32</v>
      </c>
      <c r="G5" s="16">
        <v>32</v>
      </c>
      <c r="H5" s="16">
        <v>32</v>
      </c>
      <c r="I5" s="16">
        <v>32</v>
      </c>
      <c r="J5" s="17">
        <v>32</v>
      </c>
      <c r="K5" s="1"/>
      <c r="L5" t="str" cm="1">
        <f t="array" aca="1" ref="L5" ca="1">INDIRECT("A" &amp; (ROW(L3)*3))</f>
        <v>MB3</v>
      </c>
      <c r="M5" t="str" cm="1">
        <f t="array" aca="1" ref="M5" ca="1">INDIRECT("J" &amp; (ROW(L3)*3))</f>
        <v>0,765**</v>
      </c>
      <c r="N5" cm="1">
        <f t="array" aca="1" ref="N5" ca="1">INDIRECT("J" &amp; (ROW(L3)*3+1))</f>
        <v>3.3368586128880482E-7</v>
      </c>
      <c r="O5" t="str">
        <f t="shared" ca="1" si="0"/>
        <v>Valid</v>
      </c>
    </row>
    <row r="6" spans="1:21" ht="34.5" x14ac:dyDescent="0.35">
      <c r="A6" s="132" t="s">
        <v>3</v>
      </c>
      <c r="B6" s="10" t="s">
        <v>10</v>
      </c>
      <c r="C6" s="18" t="s">
        <v>77</v>
      </c>
      <c r="D6" s="19">
        <v>1</v>
      </c>
      <c r="E6" s="20" t="s">
        <v>83</v>
      </c>
      <c r="F6" s="20" t="s">
        <v>84</v>
      </c>
      <c r="G6" s="12">
        <v>0.23364966171333101</v>
      </c>
      <c r="H6" s="20" t="s">
        <v>85</v>
      </c>
      <c r="I6" s="20" t="s">
        <v>86</v>
      </c>
      <c r="J6" s="21" t="s">
        <v>87</v>
      </c>
      <c r="K6" s="1"/>
      <c r="L6" t="str" cm="1">
        <f t="array" aca="1" ref="L6" ca="1">INDIRECT("A" &amp; (ROW(L4)*3))</f>
        <v>MB4</v>
      </c>
      <c r="M6" t="str" cm="1">
        <f t="array" aca="1" ref="M6" ca="1">INDIRECT("J" &amp; (ROW(L4)*3))</f>
        <v>0,717**</v>
      </c>
      <c r="N6" cm="1">
        <f t="array" aca="1" ref="N6" ca="1">INDIRECT("J" &amp; (ROW(L4)*3+1))</f>
        <v>3.9029485804568904E-6</v>
      </c>
      <c r="O6" t="str">
        <f t="shared" ca="1" si="0"/>
        <v>Valid</v>
      </c>
    </row>
    <row r="7" spans="1:21" ht="23" x14ac:dyDescent="0.35">
      <c r="A7" s="131"/>
      <c r="B7" s="10" t="s">
        <v>11</v>
      </c>
      <c r="C7" s="22">
        <v>1.208929574398423E-2</v>
      </c>
      <c r="D7" s="23"/>
      <c r="E7" s="12">
        <v>1.2879754193341871E-4</v>
      </c>
      <c r="F7" s="12">
        <v>5.4700424270784764E-3</v>
      </c>
      <c r="G7" s="12">
        <v>0.19808119502877619</v>
      </c>
      <c r="H7" s="12">
        <v>4.0933784675697815E-3</v>
      </c>
      <c r="I7" s="12">
        <v>2.0949837911450886E-2</v>
      </c>
      <c r="J7" s="13">
        <v>4.3223370937272937E-6</v>
      </c>
      <c r="K7" s="1"/>
      <c r="L7" t="str" cm="1">
        <f t="array" aca="1" ref="L7" ca="1">INDIRECT("A" &amp; (ROW(L5)*3))</f>
        <v>MB5</v>
      </c>
      <c r="M7" t="str" cm="1">
        <f t="array" aca="1" ref="M7" ca="1">INDIRECT("J" &amp; (ROW(L5)*3))</f>
        <v>0,667**</v>
      </c>
      <c r="N7" cm="1">
        <f t="array" aca="1" ref="N7" ca="1">INDIRECT("J" &amp; (ROW(L5)*3+1))</f>
        <v>3.0240108742625444E-5</v>
      </c>
      <c r="O7" t="str">
        <f t="shared" ca="1" si="0"/>
        <v>Valid</v>
      </c>
    </row>
    <row r="8" spans="1:21" x14ac:dyDescent="0.35">
      <c r="A8" s="132"/>
      <c r="B8" s="14" t="s">
        <v>12</v>
      </c>
      <c r="C8" s="15">
        <v>32</v>
      </c>
      <c r="D8" s="16">
        <v>32</v>
      </c>
      <c r="E8" s="16">
        <v>32</v>
      </c>
      <c r="F8" s="16">
        <v>32</v>
      </c>
      <c r="G8" s="16">
        <v>32</v>
      </c>
      <c r="H8" s="16">
        <v>32</v>
      </c>
      <c r="I8" s="16">
        <v>32</v>
      </c>
      <c r="J8" s="17">
        <v>32</v>
      </c>
      <c r="K8" s="1"/>
      <c r="L8" t="str" cm="1">
        <f t="array" aca="1" ref="L8" ca="1">INDIRECT("A" &amp; (ROW(L6)*3))</f>
        <v>MB6</v>
      </c>
      <c r="M8" t="str" cm="1">
        <f t="array" aca="1" ref="M8" ca="1">INDIRECT("J" &amp; (ROW(L6)*3))</f>
        <v>0,688**</v>
      </c>
      <c r="N8" cm="1">
        <f t="array" aca="1" ref="N8" ca="1">INDIRECT("J" &amp; (ROW(L6)*3+1))</f>
        <v>1.3656131349859352E-5</v>
      </c>
      <c r="O8" t="str">
        <f t="shared" ca="1" si="0"/>
        <v>Valid</v>
      </c>
    </row>
    <row r="9" spans="1:21" ht="34.5" x14ac:dyDescent="0.35">
      <c r="A9" s="132" t="s">
        <v>4</v>
      </c>
      <c r="B9" s="10" t="s">
        <v>10</v>
      </c>
      <c r="C9" s="18" t="s">
        <v>78</v>
      </c>
      <c r="D9" s="20" t="s">
        <v>83</v>
      </c>
      <c r="E9" s="19">
        <v>1</v>
      </c>
      <c r="F9" s="20" t="s">
        <v>88</v>
      </c>
      <c r="G9" s="20" t="s">
        <v>89</v>
      </c>
      <c r="H9" s="12">
        <v>0.33545932210832119</v>
      </c>
      <c r="I9" s="20" t="s">
        <v>90</v>
      </c>
      <c r="J9" s="21" t="s">
        <v>91</v>
      </c>
      <c r="K9" s="1"/>
      <c r="L9" t="str" cm="1">
        <f t="array" aca="1" ref="L9" ca="1">INDIRECT("A" &amp; (ROW(L7)*3))</f>
        <v>MB7</v>
      </c>
      <c r="M9" t="str" cm="1">
        <f t="array" aca="1" ref="M9" ca="1">INDIRECT("J" &amp; (ROW(L7)*3))</f>
        <v>0,742**</v>
      </c>
      <c r="N9" cm="1">
        <f t="array" aca="1" ref="N9" ca="1">INDIRECT("J" &amp; (ROW(L7)*3+1))</f>
        <v>1.1784213342778345E-6</v>
      </c>
      <c r="O9" t="str">
        <f t="shared" ca="1" si="0"/>
        <v>Valid</v>
      </c>
    </row>
    <row r="10" spans="1:21" ht="23" x14ac:dyDescent="0.35">
      <c r="A10" s="131"/>
      <c r="B10" s="10" t="s">
        <v>11</v>
      </c>
      <c r="C10" s="22">
        <v>6.1448988064444698E-4</v>
      </c>
      <c r="D10" s="12">
        <v>1.2879754193341871E-4</v>
      </c>
      <c r="E10" s="23"/>
      <c r="F10" s="12">
        <v>1.1156452302082967E-2</v>
      </c>
      <c r="G10" s="12">
        <v>1.089117928616757E-2</v>
      </c>
      <c r="H10" s="12">
        <v>6.0525589050005796E-2</v>
      </c>
      <c r="I10" s="12">
        <v>4.7088306200122089E-3</v>
      </c>
      <c r="J10" s="13">
        <v>3.3368586128880482E-7</v>
      </c>
      <c r="K10" s="1"/>
    </row>
    <row r="11" spans="1:21" x14ac:dyDescent="0.35">
      <c r="A11" s="132"/>
      <c r="B11" s="14" t="s">
        <v>12</v>
      </c>
      <c r="C11" s="15">
        <v>32</v>
      </c>
      <c r="D11" s="16">
        <v>32</v>
      </c>
      <c r="E11" s="16">
        <v>32</v>
      </c>
      <c r="F11" s="16">
        <v>32</v>
      </c>
      <c r="G11" s="16">
        <v>32</v>
      </c>
      <c r="H11" s="16">
        <v>32</v>
      </c>
      <c r="I11" s="16">
        <v>32</v>
      </c>
      <c r="J11" s="17">
        <v>32</v>
      </c>
      <c r="K11" s="1"/>
    </row>
    <row r="12" spans="1:21" ht="34.5" x14ac:dyDescent="0.35">
      <c r="A12" s="132" t="s">
        <v>5</v>
      </c>
      <c r="B12" s="10" t="s">
        <v>10</v>
      </c>
      <c r="C12" s="18" t="s">
        <v>79</v>
      </c>
      <c r="D12" s="20" t="s">
        <v>84</v>
      </c>
      <c r="E12" s="20" t="s">
        <v>88</v>
      </c>
      <c r="F12" s="19">
        <v>1</v>
      </c>
      <c r="G12" s="12">
        <v>0.32303323599067801</v>
      </c>
      <c r="H12" s="12">
        <v>0.33710890920943326</v>
      </c>
      <c r="I12" s="20" t="s">
        <v>92</v>
      </c>
      <c r="J12" s="21" t="s">
        <v>93</v>
      </c>
      <c r="K12" s="1"/>
    </row>
    <row r="13" spans="1:21" ht="23" x14ac:dyDescent="0.35">
      <c r="A13" s="131"/>
      <c r="B13" s="10" t="s">
        <v>11</v>
      </c>
      <c r="C13" s="22">
        <v>9.6578020873148204E-3</v>
      </c>
      <c r="D13" s="12">
        <v>5.4700424270784764E-3</v>
      </c>
      <c r="E13" s="12">
        <v>1.1156452302082967E-2</v>
      </c>
      <c r="F13" s="23"/>
      <c r="G13" s="12">
        <v>7.1334097606677832E-2</v>
      </c>
      <c r="H13" s="12">
        <v>5.9193309586773914E-2</v>
      </c>
      <c r="I13" s="12">
        <v>3.6169494109579521E-3</v>
      </c>
      <c r="J13" s="13">
        <v>3.9029485804568904E-6</v>
      </c>
      <c r="K13" s="1"/>
    </row>
    <row r="14" spans="1:21" x14ac:dyDescent="0.35">
      <c r="A14" s="132"/>
      <c r="B14" s="14" t="s">
        <v>12</v>
      </c>
      <c r="C14" s="15">
        <v>32</v>
      </c>
      <c r="D14" s="16">
        <v>32</v>
      </c>
      <c r="E14" s="16">
        <v>32</v>
      </c>
      <c r="F14" s="16">
        <v>32</v>
      </c>
      <c r="G14" s="16">
        <v>32</v>
      </c>
      <c r="H14" s="16">
        <v>32</v>
      </c>
      <c r="I14" s="16">
        <v>32</v>
      </c>
      <c r="J14" s="17">
        <v>32</v>
      </c>
      <c r="K14" s="1"/>
    </row>
    <row r="15" spans="1:21" ht="34.5" x14ac:dyDescent="0.35">
      <c r="A15" s="132" t="s">
        <v>6</v>
      </c>
      <c r="B15" s="10" t="s">
        <v>10</v>
      </c>
      <c r="C15" s="22">
        <v>0.21947564065307354</v>
      </c>
      <c r="D15" s="12">
        <v>0.23364966171333101</v>
      </c>
      <c r="E15" s="20" t="s">
        <v>89</v>
      </c>
      <c r="F15" s="12">
        <v>0.32303323599067801</v>
      </c>
      <c r="G15" s="19">
        <v>1</v>
      </c>
      <c r="H15" s="20" t="s">
        <v>94</v>
      </c>
      <c r="I15" s="20" t="s">
        <v>95</v>
      </c>
      <c r="J15" s="21" t="s">
        <v>96</v>
      </c>
      <c r="K15" s="1"/>
    </row>
    <row r="16" spans="1:21" ht="23" x14ac:dyDescent="0.35">
      <c r="A16" s="131"/>
      <c r="B16" s="10" t="s">
        <v>11</v>
      </c>
      <c r="C16" s="22">
        <v>0.22745953178988018</v>
      </c>
      <c r="D16" s="12">
        <v>0.19808119502877619</v>
      </c>
      <c r="E16" s="12">
        <v>1.089117928616757E-2</v>
      </c>
      <c r="F16" s="12">
        <v>7.1334097606677832E-2</v>
      </c>
      <c r="G16" s="23"/>
      <c r="H16" s="12">
        <v>1.3294975657057827E-2</v>
      </c>
      <c r="I16" s="12">
        <v>7.2349674984852307E-3</v>
      </c>
      <c r="J16" s="13">
        <v>3.0240108742625444E-5</v>
      </c>
      <c r="K16" s="1"/>
    </row>
    <row r="17" spans="1:11" x14ac:dyDescent="0.35">
      <c r="A17" s="132"/>
      <c r="B17" s="14" t="s">
        <v>12</v>
      </c>
      <c r="C17" s="15">
        <v>32</v>
      </c>
      <c r="D17" s="16">
        <v>32</v>
      </c>
      <c r="E17" s="16">
        <v>32</v>
      </c>
      <c r="F17" s="16">
        <v>32</v>
      </c>
      <c r="G17" s="16">
        <v>32</v>
      </c>
      <c r="H17" s="16">
        <v>32</v>
      </c>
      <c r="I17" s="16">
        <v>32</v>
      </c>
      <c r="J17" s="17">
        <v>32</v>
      </c>
      <c r="K17" s="1"/>
    </row>
    <row r="18" spans="1:11" ht="34.5" x14ac:dyDescent="0.35">
      <c r="A18" s="132" t="s">
        <v>7</v>
      </c>
      <c r="B18" s="10" t="s">
        <v>10</v>
      </c>
      <c r="C18" s="18" t="s">
        <v>80</v>
      </c>
      <c r="D18" s="20" t="s">
        <v>85</v>
      </c>
      <c r="E18" s="12">
        <v>0.33545932210832119</v>
      </c>
      <c r="F18" s="12">
        <v>0.33710890920943326</v>
      </c>
      <c r="G18" s="20" t="s">
        <v>94</v>
      </c>
      <c r="H18" s="19">
        <v>1</v>
      </c>
      <c r="I18" s="20" t="s">
        <v>97</v>
      </c>
      <c r="J18" s="21" t="s">
        <v>98</v>
      </c>
      <c r="K18" s="1"/>
    </row>
    <row r="19" spans="1:11" ht="23" x14ac:dyDescent="0.35">
      <c r="A19" s="131"/>
      <c r="B19" s="10" t="s">
        <v>11</v>
      </c>
      <c r="C19" s="22">
        <v>3.973602582769991E-2</v>
      </c>
      <c r="D19" s="12">
        <v>4.0933784675697815E-3</v>
      </c>
      <c r="E19" s="12">
        <v>6.0525589050005796E-2</v>
      </c>
      <c r="F19" s="12">
        <v>5.9193309586773914E-2</v>
      </c>
      <c r="G19" s="12">
        <v>1.3294975657057827E-2</v>
      </c>
      <c r="H19" s="23"/>
      <c r="I19" s="12">
        <v>2.1488474283650458E-2</v>
      </c>
      <c r="J19" s="13">
        <v>1.3656131349859352E-5</v>
      </c>
      <c r="K19" s="1"/>
    </row>
    <row r="20" spans="1:11" x14ac:dyDescent="0.35">
      <c r="A20" s="132"/>
      <c r="B20" s="14" t="s">
        <v>12</v>
      </c>
      <c r="C20" s="15">
        <v>32</v>
      </c>
      <c r="D20" s="16">
        <v>32</v>
      </c>
      <c r="E20" s="16">
        <v>32</v>
      </c>
      <c r="F20" s="16">
        <v>32</v>
      </c>
      <c r="G20" s="16">
        <v>32</v>
      </c>
      <c r="H20" s="16">
        <v>32</v>
      </c>
      <c r="I20" s="16">
        <v>32</v>
      </c>
      <c r="J20" s="17">
        <v>32</v>
      </c>
      <c r="K20" s="1"/>
    </row>
    <row r="21" spans="1:11" ht="34.5" x14ac:dyDescent="0.35">
      <c r="A21" s="132" t="s">
        <v>8</v>
      </c>
      <c r="B21" s="10" t="s">
        <v>10</v>
      </c>
      <c r="C21" s="18" t="s">
        <v>81</v>
      </c>
      <c r="D21" s="20" t="s">
        <v>86</v>
      </c>
      <c r="E21" s="20" t="s">
        <v>90</v>
      </c>
      <c r="F21" s="20" t="s">
        <v>92</v>
      </c>
      <c r="G21" s="20" t="s">
        <v>95</v>
      </c>
      <c r="H21" s="20" t="s">
        <v>97</v>
      </c>
      <c r="I21" s="19">
        <v>1</v>
      </c>
      <c r="J21" s="21" t="s">
        <v>99</v>
      </c>
      <c r="K21" s="1"/>
    </row>
    <row r="22" spans="1:11" ht="23" x14ac:dyDescent="0.35">
      <c r="A22" s="131"/>
      <c r="B22" s="10" t="s">
        <v>11</v>
      </c>
      <c r="C22" s="22">
        <v>3.7432046607640108E-2</v>
      </c>
      <c r="D22" s="12">
        <v>2.0949837911450886E-2</v>
      </c>
      <c r="E22" s="12">
        <v>4.7088306200122089E-3</v>
      </c>
      <c r="F22" s="12">
        <v>3.6169494109579521E-3</v>
      </c>
      <c r="G22" s="12">
        <v>7.2349674984852307E-3</v>
      </c>
      <c r="H22" s="12">
        <v>2.1488474283650458E-2</v>
      </c>
      <c r="I22" s="23"/>
      <c r="J22" s="13">
        <v>1.1784213342778345E-6</v>
      </c>
      <c r="K22" s="1"/>
    </row>
    <row r="23" spans="1:11" x14ac:dyDescent="0.35">
      <c r="A23" s="132"/>
      <c r="B23" s="14" t="s">
        <v>12</v>
      </c>
      <c r="C23" s="15">
        <v>32</v>
      </c>
      <c r="D23" s="16">
        <v>32</v>
      </c>
      <c r="E23" s="16">
        <v>32</v>
      </c>
      <c r="F23" s="16">
        <v>32</v>
      </c>
      <c r="G23" s="16">
        <v>32</v>
      </c>
      <c r="H23" s="16">
        <v>32</v>
      </c>
      <c r="I23" s="16">
        <v>32</v>
      </c>
      <c r="J23" s="17">
        <v>32</v>
      </c>
      <c r="K23" s="1"/>
    </row>
    <row r="24" spans="1:11" ht="34.5" x14ac:dyDescent="0.35">
      <c r="A24" s="132" t="s">
        <v>9</v>
      </c>
      <c r="B24" s="10" t="s">
        <v>10</v>
      </c>
      <c r="C24" s="18" t="s">
        <v>82</v>
      </c>
      <c r="D24" s="20" t="s">
        <v>87</v>
      </c>
      <c r="E24" s="20" t="s">
        <v>91</v>
      </c>
      <c r="F24" s="20" t="s">
        <v>93</v>
      </c>
      <c r="G24" s="20" t="s">
        <v>96</v>
      </c>
      <c r="H24" s="20" t="s">
        <v>98</v>
      </c>
      <c r="I24" s="20" t="s">
        <v>99</v>
      </c>
      <c r="J24" s="24">
        <v>1</v>
      </c>
      <c r="K24" s="1"/>
    </row>
    <row r="25" spans="1:11" ht="23" x14ac:dyDescent="0.35">
      <c r="A25" s="131"/>
      <c r="B25" s="10" t="s">
        <v>11</v>
      </c>
      <c r="C25" s="22">
        <v>3.8224994322311687E-5</v>
      </c>
      <c r="D25" s="12">
        <v>4.3223370937272937E-6</v>
      </c>
      <c r="E25" s="12">
        <v>3.3368586128880482E-7</v>
      </c>
      <c r="F25" s="12">
        <v>3.9029485804568904E-6</v>
      </c>
      <c r="G25" s="12">
        <v>3.0240108742625444E-5</v>
      </c>
      <c r="H25" s="12">
        <v>1.3656131349859352E-5</v>
      </c>
      <c r="I25" s="12">
        <v>1.1784213342778345E-6</v>
      </c>
      <c r="J25" s="25"/>
      <c r="K25" s="1"/>
    </row>
    <row r="26" spans="1:11" x14ac:dyDescent="0.35">
      <c r="A26" s="133"/>
      <c r="B26" s="26" t="s">
        <v>12</v>
      </c>
      <c r="C26" s="27">
        <v>32</v>
      </c>
      <c r="D26" s="28">
        <v>32</v>
      </c>
      <c r="E26" s="28">
        <v>32</v>
      </c>
      <c r="F26" s="28">
        <v>32</v>
      </c>
      <c r="G26" s="28">
        <v>32</v>
      </c>
      <c r="H26" s="28">
        <v>32</v>
      </c>
      <c r="I26" s="28">
        <v>32</v>
      </c>
      <c r="J26" s="29">
        <v>32</v>
      </c>
      <c r="K26" s="1"/>
    </row>
    <row r="27" spans="1:11" x14ac:dyDescent="0.35">
      <c r="A27" s="127" t="s">
        <v>13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"/>
    </row>
    <row r="28" spans="1:11" x14ac:dyDescent="0.35">
      <c r="A28" s="127" t="s">
        <v>14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"/>
    </row>
  </sheetData>
  <mergeCells count="13">
    <mergeCell ref="Q1:R1"/>
    <mergeCell ref="A15:A17"/>
    <mergeCell ref="A18:A20"/>
    <mergeCell ref="A21:A23"/>
    <mergeCell ref="A24:A26"/>
    <mergeCell ref="A27:J27"/>
    <mergeCell ref="A28:J28"/>
    <mergeCell ref="A1:J1"/>
    <mergeCell ref="A2:B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BD91-8094-44D2-B9A5-BE08F58C6E06}">
  <dimension ref="A1:Y40"/>
  <sheetViews>
    <sheetView topLeftCell="N1" workbookViewId="0">
      <selection activeCell="X2" sqref="X2:Y3"/>
    </sheetView>
  </sheetViews>
  <sheetFormatPr defaultRowHeight="14.5" x14ac:dyDescent="0.35"/>
  <sheetData>
    <row r="1" spans="1:25" x14ac:dyDescent="0.35">
      <c r="A1" s="138" t="s">
        <v>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30"/>
      <c r="U1" s="138" t="s">
        <v>70</v>
      </c>
      <c r="V1" s="138"/>
      <c r="W1" s="30"/>
    </row>
    <row r="2" spans="1:25" ht="24" x14ac:dyDescent="0.35">
      <c r="A2" s="139" t="s">
        <v>0</v>
      </c>
      <c r="B2" s="139"/>
      <c r="C2" s="31" t="s">
        <v>15</v>
      </c>
      <c r="D2" s="32" t="s">
        <v>16</v>
      </c>
      <c r="E2" s="32" t="s">
        <v>17</v>
      </c>
      <c r="F2" s="32" t="s">
        <v>18</v>
      </c>
      <c r="G2" s="32" t="s">
        <v>19</v>
      </c>
      <c r="H2" s="32" t="s">
        <v>20</v>
      </c>
      <c r="I2" s="32" t="s">
        <v>21</v>
      </c>
      <c r="J2" s="32" t="s">
        <v>22</v>
      </c>
      <c r="K2" s="32" t="s">
        <v>23</v>
      </c>
      <c r="L2" s="32" t="s">
        <v>24</v>
      </c>
      <c r="M2" s="32" t="s">
        <v>25</v>
      </c>
      <c r="N2" s="33" t="s">
        <v>26</v>
      </c>
      <c r="O2" s="30"/>
      <c r="P2" s="125" t="s">
        <v>73</v>
      </c>
      <c r="Q2" s="125" t="s">
        <v>74</v>
      </c>
      <c r="R2" s="125" t="s">
        <v>75</v>
      </c>
      <c r="S2" s="125" t="s">
        <v>76</v>
      </c>
      <c r="U2" s="31" t="s">
        <v>71</v>
      </c>
      <c r="V2" s="33" t="s">
        <v>72</v>
      </c>
      <c r="W2" s="30"/>
      <c r="X2" s="125" t="s">
        <v>71</v>
      </c>
      <c r="Y2" s="125" t="s">
        <v>76</v>
      </c>
    </row>
    <row r="3" spans="1:25" ht="34.5" x14ac:dyDescent="0.35">
      <c r="A3" s="140" t="s">
        <v>15</v>
      </c>
      <c r="B3" s="34" t="s">
        <v>10</v>
      </c>
      <c r="C3" s="35">
        <v>1</v>
      </c>
      <c r="D3" s="36" t="s">
        <v>100</v>
      </c>
      <c r="E3" s="36" t="s">
        <v>101</v>
      </c>
      <c r="F3" s="36" t="s">
        <v>102</v>
      </c>
      <c r="G3" s="36" t="s">
        <v>103</v>
      </c>
      <c r="H3" s="36" t="s">
        <v>104</v>
      </c>
      <c r="I3" s="36" t="s">
        <v>105</v>
      </c>
      <c r="J3" s="36" t="s">
        <v>106</v>
      </c>
      <c r="K3" s="37">
        <v>5.9855027126210915E-2</v>
      </c>
      <c r="L3" s="37">
        <v>0.34880076451703185</v>
      </c>
      <c r="M3" s="36" t="s">
        <v>107</v>
      </c>
      <c r="N3" s="38" t="s">
        <v>108</v>
      </c>
      <c r="O3" s="30"/>
      <c r="P3" t="str" cm="1">
        <f t="array" aca="1" ref="P3" ca="1">INDIRECT("A" &amp; (ROW(P1)*3))</f>
        <v>KP1</v>
      </c>
      <c r="Q3" t="str" cm="1">
        <f t="array" aca="1" ref="Q3" ca="1">INDIRECT("N" &amp; (ROW(P1)*3))</f>
        <v>0,541**</v>
      </c>
      <c r="R3" cm="1">
        <f t="array" aca="1" ref="R3" ca="1">INDIRECT("N" &amp; (ROW(N1)*3+1))</f>
        <v>1.3998428644218413E-3</v>
      </c>
      <c r="S3" t="str">
        <f ca="1">IF(R3&lt;0.05,"Valid","Tidak Valid")</f>
        <v>Valid</v>
      </c>
      <c r="U3" s="119">
        <v>0.55321195465475781</v>
      </c>
      <c r="V3" s="120">
        <v>11</v>
      </c>
      <c r="W3" s="30"/>
      <c r="X3" s="126">
        <f>U3</f>
        <v>0.55321195465475781</v>
      </c>
      <c r="Y3" t="str">
        <f>IF(X3&gt;0.6,"Reliabel","Tidak Reliabel")</f>
        <v>Tidak Reliabel</v>
      </c>
    </row>
    <row r="4" spans="1:25" ht="23" x14ac:dyDescent="0.35">
      <c r="A4" s="135"/>
      <c r="B4" s="39" t="s">
        <v>11</v>
      </c>
      <c r="C4" s="40"/>
      <c r="D4" s="41">
        <v>5.0903428940302007E-7</v>
      </c>
      <c r="E4" s="41">
        <v>3.2778706345079705E-3</v>
      </c>
      <c r="F4" s="41">
        <v>2.2534592137403778E-2</v>
      </c>
      <c r="G4" s="41">
        <v>4.9309730295820666E-4</v>
      </c>
      <c r="H4" s="41">
        <v>2.3517410204975306E-4</v>
      </c>
      <c r="I4" s="41">
        <v>1.0947736609582491E-3</v>
      </c>
      <c r="J4" s="41">
        <v>1.9599291183942633E-2</v>
      </c>
      <c r="K4" s="41">
        <v>0.74486932888513779</v>
      </c>
      <c r="L4" s="41">
        <v>5.040000800405299E-2</v>
      </c>
      <c r="M4" s="41">
        <v>2.018019515658968E-3</v>
      </c>
      <c r="N4" s="42">
        <v>1.3998428644218413E-3</v>
      </c>
      <c r="O4" s="30"/>
      <c r="P4" t="str" cm="1">
        <f t="array" aca="1" ref="P4" ca="1">INDIRECT("A" &amp; (ROW(P2)*3))</f>
        <v>KP2</v>
      </c>
      <c r="Q4" t="str" cm="1">
        <f t="array" aca="1" ref="Q4" ca="1">INDIRECT("N" &amp; (ROW(P2)*3))</f>
        <v>0,685**</v>
      </c>
      <c r="R4" cm="1">
        <f t="array" aca="1" ref="R4" ca="1">INDIRECT("N" &amp; (ROW(N2)*3+1))</f>
        <v>1.5511887167702783E-5</v>
      </c>
      <c r="S4" t="str">
        <f t="shared" ref="S4:S13" ca="1" si="0">IF(R4&lt;0.05,"Valid","Tidak Valid")</f>
        <v>Valid</v>
      </c>
    </row>
    <row r="5" spans="1:25" x14ac:dyDescent="0.35">
      <c r="A5" s="134"/>
      <c r="B5" s="43" t="s">
        <v>12</v>
      </c>
      <c r="C5" s="44">
        <v>32</v>
      </c>
      <c r="D5" s="45">
        <v>32</v>
      </c>
      <c r="E5" s="45">
        <v>32</v>
      </c>
      <c r="F5" s="45">
        <v>32</v>
      </c>
      <c r="G5" s="45">
        <v>32</v>
      </c>
      <c r="H5" s="45">
        <v>32</v>
      </c>
      <c r="I5" s="45">
        <v>32</v>
      </c>
      <c r="J5" s="45">
        <v>32</v>
      </c>
      <c r="K5" s="45">
        <v>32</v>
      </c>
      <c r="L5" s="45">
        <v>32</v>
      </c>
      <c r="M5" s="45">
        <v>32</v>
      </c>
      <c r="N5" s="46">
        <v>32</v>
      </c>
      <c r="O5" s="30"/>
      <c r="P5" t="str" cm="1">
        <f t="array" aca="1" ref="P5" ca="1">INDIRECT("A" &amp; (ROW(P3)*3))</f>
        <v>KP3</v>
      </c>
      <c r="Q5" t="str" cm="1">
        <f t="array" aca="1" ref="Q5" ca="1">INDIRECT("N" &amp; (ROW(P3)*3))</f>
        <v>0,797**</v>
      </c>
      <c r="R5" cm="1">
        <f t="array" aca="1" ref="R5" ca="1">INDIRECT("N" &amp; (ROW(N3)*3+1))</f>
        <v>4.8090071466535115E-8</v>
      </c>
      <c r="S5" t="str">
        <f t="shared" ca="1" si="0"/>
        <v>Valid</v>
      </c>
    </row>
    <row r="6" spans="1:25" ht="34.5" x14ac:dyDescent="0.35">
      <c r="A6" s="134" t="s">
        <v>16</v>
      </c>
      <c r="B6" s="39" t="s">
        <v>10</v>
      </c>
      <c r="C6" s="47" t="s">
        <v>27</v>
      </c>
      <c r="D6" s="48">
        <v>1</v>
      </c>
      <c r="E6" s="49" t="s">
        <v>98</v>
      </c>
      <c r="F6" s="49" t="s">
        <v>109</v>
      </c>
      <c r="G6" s="49" t="s">
        <v>110</v>
      </c>
      <c r="H6" s="49" t="s">
        <v>111</v>
      </c>
      <c r="I6" s="49" t="s">
        <v>112</v>
      </c>
      <c r="J6" s="41">
        <v>-0.29481738963820081</v>
      </c>
      <c r="K6" s="41">
        <v>0</v>
      </c>
      <c r="L6" s="49" t="s">
        <v>113</v>
      </c>
      <c r="M6" s="49" t="s">
        <v>114</v>
      </c>
      <c r="N6" s="50" t="s">
        <v>115</v>
      </c>
      <c r="O6" s="30"/>
      <c r="P6" t="str" cm="1">
        <f t="array" aca="1" ref="P6" ca="1">INDIRECT("A" &amp; (ROW(P4)*3))</f>
        <v>KP4</v>
      </c>
      <c r="Q6" t="str" cm="1">
        <f t="array" aca="1" ref="Q6" ca="1">INDIRECT("N" &amp; (ROW(P4)*3))</f>
        <v>0,726**</v>
      </c>
      <c r="R6" cm="1">
        <f t="array" aca="1" ref="R6" ca="1">INDIRECT("N" &amp; (ROW(N4)*3+1))</f>
        <v>2.5391012059837474E-6</v>
      </c>
      <c r="S6" t="str">
        <f t="shared" ca="1" si="0"/>
        <v>Valid</v>
      </c>
    </row>
    <row r="7" spans="1:25" ht="23" x14ac:dyDescent="0.35">
      <c r="A7" s="135"/>
      <c r="B7" s="39" t="s">
        <v>11</v>
      </c>
      <c r="C7" s="51">
        <v>5.0903428940302007E-7</v>
      </c>
      <c r="D7" s="52"/>
      <c r="E7" s="41">
        <v>1.3387421894012589E-5</v>
      </c>
      <c r="F7" s="41">
        <v>4.2917471979005504E-3</v>
      </c>
      <c r="G7" s="41">
        <v>6.7260112430725914E-4</v>
      </c>
      <c r="H7" s="41">
        <v>1.7325898242362864E-8</v>
      </c>
      <c r="I7" s="41">
        <v>2.9965525406889525E-2</v>
      </c>
      <c r="J7" s="41">
        <v>0.10141626123369342</v>
      </c>
      <c r="K7" s="41">
        <v>1</v>
      </c>
      <c r="L7" s="41">
        <v>1.8473118415676341E-2</v>
      </c>
      <c r="M7" s="41">
        <v>1.390480312718197E-2</v>
      </c>
      <c r="N7" s="42">
        <v>1.5511887167702783E-5</v>
      </c>
      <c r="O7" s="30"/>
      <c r="P7" t="str" cm="1">
        <f t="array" aca="1" ref="P7" ca="1">INDIRECT("A" &amp; (ROW(P5)*3))</f>
        <v>KP5</v>
      </c>
      <c r="Q7" t="str" cm="1">
        <f t="array" aca="1" ref="Q7" ca="1">INDIRECT("N" &amp; (ROW(P5)*3))</f>
        <v>0,629**</v>
      </c>
      <c r="R7" cm="1">
        <f t="array" aca="1" ref="R7" ca="1">INDIRECT("N" &amp; (ROW(N5)*3+1))</f>
        <v>1.168778607429698E-4</v>
      </c>
      <c r="S7" t="str">
        <f t="shared" ca="1" si="0"/>
        <v>Valid</v>
      </c>
    </row>
    <row r="8" spans="1:25" x14ac:dyDescent="0.35">
      <c r="A8" s="134"/>
      <c r="B8" s="43" t="s">
        <v>12</v>
      </c>
      <c r="C8" s="44">
        <v>32</v>
      </c>
      <c r="D8" s="45">
        <v>32</v>
      </c>
      <c r="E8" s="45">
        <v>32</v>
      </c>
      <c r="F8" s="45">
        <v>32</v>
      </c>
      <c r="G8" s="45">
        <v>32</v>
      </c>
      <c r="H8" s="45">
        <v>32</v>
      </c>
      <c r="I8" s="45">
        <v>32</v>
      </c>
      <c r="J8" s="45">
        <v>32</v>
      </c>
      <c r="K8" s="45">
        <v>32</v>
      </c>
      <c r="L8" s="45">
        <v>32</v>
      </c>
      <c r="M8" s="45">
        <v>32</v>
      </c>
      <c r="N8" s="46">
        <v>32</v>
      </c>
      <c r="O8" s="30"/>
      <c r="P8" t="str" cm="1">
        <f t="array" aca="1" ref="P8" ca="1">INDIRECT("A" &amp; (ROW(P6)*3))</f>
        <v>KP6</v>
      </c>
      <c r="Q8" t="str" cm="1">
        <f t="array" aca="1" ref="Q8" ca="1">INDIRECT("N" &amp; (ROW(P6)*3))</f>
        <v>0,785**</v>
      </c>
      <c r="R8" cm="1">
        <f t="array" aca="1" ref="R8" ca="1">INDIRECT("N" &amp; (ROW(N6)*3+1))</f>
        <v>1.0484726682837159E-7</v>
      </c>
      <c r="S8" t="str">
        <f t="shared" ca="1" si="0"/>
        <v>Valid</v>
      </c>
    </row>
    <row r="9" spans="1:25" ht="34.5" x14ac:dyDescent="0.35">
      <c r="A9" s="134" t="s">
        <v>17</v>
      </c>
      <c r="B9" s="39" t="s">
        <v>10</v>
      </c>
      <c r="C9" s="47" t="s">
        <v>28</v>
      </c>
      <c r="D9" s="49" t="s">
        <v>98</v>
      </c>
      <c r="E9" s="48">
        <v>1</v>
      </c>
      <c r="F9" s="49" t="s">
        <v>116</v>
      </c>
      <c r="G9" s="49" t="s">
        <v>78</v>
      </c>
      <c r="H9" s="49" t="s">
        <v>117</v>
      </c>
      <c r="I9" s="41">
        <v>-0.33487441105139065</v>
      </c>
      <c r="J9" s="41">
        <v>-7.5592894601845442E-2</v>
      </c>
      <c r="K9" s="41">
        <v>0.2004459314343183</v>
      </c>
      <c r="L9" s="49" t="s">
        <v>118</v>
      </c>
      <c r="M9" s="41">
        <v>0.34752402342845795</v>
      </c>
      <c r="N9" s="50" t="s">
        <v>119</v>
      </c>
      <c r="O9" s="30"/>
      <c r="P9" t="str" cm="1">
        <f t="array" aca="1" ref="P9" ca="1">INDIRECT("A" &amp; (ROW(P7)*3))</f>
        <v>KP7</v>
      </c>
      <c r="Q9" cm="1">
        <f t="array" aca="1" ref="Q9" ca="1">INDIRECT("N" &amp; (ROW(P7)*3))</f>
        <v>-0.17435188791671488</v>
      </c>
      <c r="R9" cm="1">
        <f t="array" aca="1" ref="R9" ca="1">INDIRECT("N" &amp; (ROW(N7)*3+1))</f>
        <v>0.33989129405428486</v>
      </c>
      <c r="S9" t="str">
        <f t="shared" ca="1" si="0"/>
        <v>Tidak Valid</v>
      </c>
    </row>
    <row r="10" spans="1:25" ht="23" x14ac:dyDescent="0.35">
      <c r="A10" s="135"/>
      <c r="B10" s="39" t="s">
        <v>11</v>
      </c>
      <c r="C10" s="51">
        <v>3.2778706345079705E-3</v>
      </c>
      <c r="D10" s="41">
        <v>1.3387421894012589E-5</v>
      </c>
      <c r="E10" s="52"/>
      <c r="F10" s="41">
        <v>1.1178562654288809E-4</v>
      </c>
      <c r="G10" s="41">
        <v>6.1448988064444698E-4</v>
      </c>
      <c r="H10" s="41">
        <v>7.557895412263669E-7</v>
      </c>
      <c r="I10" s="41">
        <v>6.1003610450493934E-2</v>
      </c>
      <c r="J10" s="41">
        <v>0.68093025825286868</v>
      </c>
      <c r="K10" s="41">
        <v>0.27133600800609275</v>
      </c>
      <c r="L10" s="41">
        <v>2.0827672968953357E-3</v>
      </c>
      <c r="M10" s="41">
        <v>5.130642950085991E-2</v>
      </c>
      <c r="N10" s="42">
        <v>4.8090071466535115E-8</v>
      </c>
      <c r="O10" s="30"/>
      <c r="P10" t="str" cm="1">
        <f t="array" aca="1" ref="P10" ca="1">INDIRECT("A" &amp; (ROW(P8)*3))</f>
        <v>KP8</v>
      </c>
      <c r="Q10" cm="1">
        <f t="array" aca="1" ref="Q10" ca="1">INDIRECT("N" &amp; (ROW(P8)*3))</f>
        <v>3.5026753142938745E-2</v>
      </c>
      <c r="R10" cm="1">
        <f t="array" aca="1" ref="R10" ca="1">INDIRECT("N" &amp; (ROW(N8)*3+1))</f>
        <v>0.84906137689283034</v>
      </c>
      <c r="S10" t="str">
        <f t="shared" ca="1" si="0"/>
        <v>Tidak Valid</v>
      </c>
    </row>
    <row r="11" spans="1:25" x14ac:dyDescent="0.35">
      <c r="A11" s="134"/>
      <c r="B11" s="43" t="s">
        <v>12</v>
      </c>
      <c r="C11" s="44">
        <v>32</v>
      </c>
      <c r="D11" s="45">
        <v>32</v>
      </c>
      <c r="E11" s="45">
        <v>32</v>
      </c>
      <c r="F11" s="45">
        <v>32</v>
      </c>
      <c r="G11" s="45">
        <v>32</v>
      </c>
      <c r="H11" s="45">
        <v>32</v>
      </c>
      <c r="I11" s="45">
        <v>32</v>
      </c>
      <c r="J11" s="45">
        <v>32</v>
      </c>
      <c r="K11" s="45">
        <v>32</v>
      </c>
      <c r="L11" s="45">
        <v>32</v>
      </c>
      <c r="M11" s="45">
        <v>32</v>
      </c>
      <c r="N11" s="46">
        <v>32</v>
      </c>
      <c r="O11" s="30"/>
      <c r="P11" t="str" cm="1">
        <f t="array" aca="1" ref="P11" ca="1">INDIRECT("A" &amp; (ROW(P9)*3))</f>
        <v>KP9</v>
      </c>
      <c r="Q11" t="str" cm="1">
        <f t="array" aca="1" ref="Q11" ca="1">INDIRECT("N" &amp; (ROW(P9)*3))</f>
        <v>0,456**</v>
      </c>
      <c r="R11" cm="1">
        <f t="array" aca="1" ref="R11" ca="1">INDIRECT("N" &amp; (ROW(N9)*3+1))</f>
        <v>8.7618618911392294E-3</v>
      </c>
      <c r="S11" t="str">
        <f t="shared" ca="1" si="0"/>
        <v>Valid</v>
      </c>
    </row>
    <row r="12" spans="1:25" ht="34.5" x14ac:dyDescent="0.35">
      <c r="A12" s="134" t="s">
        <v>18</v>
      </c>
      <c r="B12" s="39" t="s">
        <v>10</v>
      </c>
      <c r="C12" s="47" t="s">
        <v>29</v>
      </c>
      <c r="D12" s="49" t="s">
        <v>109</v>
      </c>
      <c r="E12" s="49" t="s">
        <v>116</v>
      </c>
      <c r="F12" s="48">
        <v>1</v>
      </c>
      <c r="G12" s="49" t="s">
        <v>120</v>
      </c>
      <c r="H12" s="49" t="s">
        <v>103</v>
      </c>
      <c r="I12" s="41">
        <v>-0.26464768153074791</v>
      </c>
      <c r="J12" s="41">
        <v>-6.6666666666666666E-2</v>
      </c>
      <c r="K12" s="41">
        <v>0.13468700594029479</v>
      </c>
      <c r="L12" s="49" t="s">
        <v>121</v>
      </c>
      <c r="M12" s="49" t="s">
        <v>122</v>
      </c>
      <c r="N12" s="50" t="s">
        <v>123</v>
      </c>
      <c r="O12" s="30"/>
      <c r="P12" t="str" cm="1">
        <f t="array" aca="1" ref="P12" ca="1">INDIRECT("A" &amp; (ROW(P10)*3))</f>
        <v>KP10</v>
      </c>
      <c r="Q12" t="str" cm="1">
        <f t="array" aca="1" ref="Q12" ca="1">INDIRECT("N" &amp; (ROW(P10)*3))</f>
        <v>0,644**</v>
      </c>
      <c r="R12" cm="1">
        <f t="array" aca="1" ref="R12" ca="1">INDIRECT("N" &amp; (ROW(N10)*3+1))</f>
        <v>6.9215071193356312E-5</v>
      </c>
      <c r="S12" t="str">
        <f t="shared" ca="1" si="0"/>
        <v>Valid</v>
      </c>
    </row>
    <row r="13" spans="1:25" ht="23" x14ac:dyDescent="0.35">
      <c r="A13" s="135"/>
      <c r="B13" s="39" t="s">
        <v>11</v>
      </c>
      <c r="C13" s="51">
        <v>2.2534592137403778E-2</v>
      </c>
      <c r="D13" s="41">
        <v>4.2917471979005504E-3</v>
      </c>
      <c r="E13" s="41">
        <v>1.1178562654288809E-4</v>
      </c>
      <c r="F13" s="52"/>
      <c r="G13" s="41">
        <v>1.0254005894888454E-3</v>
      </c>
      <c r="H13" s="41">
        <v>4.9136576449921318E-4</v>
      </c>
      <c r="I13" s="41">
        <v>0.14326074347017173</v>
      </c>
      <c r="J13" s="41">
        <v>0.71696113797573968</v>
      </c>
      <c r="K13" s="41">
        <v>0.46236960308852171</v>
      </c>
      <c r="L13" s="41">
        <v>3.1209436058174168E-3</v>
      </c>
      <c r="M13" s="41">
        <v>1.426395134585777E-2</v>
      </c>
      <c r="N13" s="42">
        <v>2.5391012059837474E-6</v>
      </c>
      <c r="O13" s="30"/>
      <c r="P13" t="str" cm="1">
        <f t="array" aca="1" ref="P13" ca="1">INDIRECT("A" &amp; (ROW(P11)*3))</f>
        <v>KP11</v>
      </c>
      <c r="Q13" t="str" cm="1">
        <f t="array" aca="1" ref="Q13" ca="1">INDIRECT("N" &amp; (ROW(P11)*3))</f>
        <v>0,455**</v>
      </c>
      <c r="R13" cm="1">
        <f t="array" aca="1" ref="R13" ca="1">INDIRECT("N" &amp; (ROW(N11)*3+1))</f>
        <v>8.9262248837908981E-3</v>
      </c>
      <c r="S13" t="str">
        <f t="shared" ca="1" si="0"/>
        <v>Valid</v>
      </c>
    </row>
    <row r="14" spans="1:25" x14ac:dyDescent="0.35">
      <c r="A14" s="134"/>
      <c r="B14" s="43" t="s">
        <v>12</v>
      </c>
      <c r="C14" s="44">
        <v>32</v>
      </c>
      <c r="D14" s="45">
        <v>32</v>
      </c>
      <c r="E14" s="45">
        <v>32</v>
      </c>
      <c r="F14" s="45">
        <v>32</v>
      </c>
      <c r="G14" s="45">
        <v>32</v>
      </c>
      <c r="H14" s="45">
        <v>32</v>
      </c>
      <c r="I14" s="45">
        <v>32</v>
      </c>
      <c r="J14" s="45">
        <v>32</v>
      </c>
      <c r="K14" s="45">
        <v>32</v>
      </c>
      <c r="L14" s="45">
        <v>32</v>
      </c>
      <c r="M14" s="45">
        <v>32</v>
      </c>
      <c r="N14" s="46">
        <v>32</v>
      </c>
      <c r="O14" s="30"/>
    </row>
    <row r="15" spans="1:25" ht="34.5" x14ac:dyDescent="0.35">
      <c r="A15" s="134" t="s">
        <v>19</v>
      </c>
      <c r="B15" s="39" t="s">
        <v>10</v>
      </c>
      <c r="C15" s="47" t="s">
        <v>30</v>
      </c>
      <c r="D15" s="49" t="s">
        <v>110</v>
      </c>
      <c r="E15" s="49" t="s">
        <v>78</v>
      </c>
      <c r="F15" s="49" t="s">
        <v>120</v>
      </c>
      <c r="G15" s="48">
        <v>1</v>
      </c>
      <c r="H15" s="49" t="s">
        <v>124</v>
      </c>
      <c r="I15" s="49" t="s">
        <v>125</v>
      </c>
      <c r="J15" s="49" t="s">
        <v>126</v>
      </c>
      <c r="K15" s="41">
        <v>6.8021702385143573E-2</v>
      </c>
      <c r="L15" s="49" t="s">
        <v>127</v>
      </c>
      <c r="M15" s="49" t="s">
        <v>128</v>
      </c>
      <c r="N15" s="50" t="s">
        <v>129</v>
      </c>
      <c r="O15" s="30"/>
    </row>
    <row r="16" spans="1:25" ht="23" x14ac:dyDescent="0.35">
      <c r="A16" s="135"/>
      <c r="B16" s="39" t="s">
        <v>11</v>
      </c>
      <c r="C16" s="51">
        <v>4.9309730295820666E-4</v>
      </c>
      <c r="D16" s="41">
        <v>6.7260112430725914E-4</v>
      </c>
      <c r="E16" s="41">
        <v>6.1448988064444698E-4</v>
      </c>
      <c r="F16" s="41">
        <v>1.0254005894888454E-3</v>
      </c>
      <c r="G16" s="52"/>
      <c r="H16" s="41">
        <v>3.7224483744945917E-5</v>
      </c>
      <c r="I16" s="41">
        <v>1.7739531373606458E-2</v>
      </c>
      <c r="J16" s="41">
        <v>1.0260118080042367E-2</v>
      </c>
      <c r="K16" s="41">
        <v>0.71145059203932959</v>
      </c>
      <c r="L16" s="41">
        <v>6.5786577394866168E-3</v>
      </c>
      <c r="M16" s="41">
        <v>1.8154441011481468E-4</v>
      </c>
      <c r="N16" s="42">
        <v>1.168778607429698E-4</v>
      </c>
      <c r="O16" s="30"/>
    </row>
    <row r="17" spans="1:15" x14ac:dyDescent="0.35">
      <c r="A17" s="134"/>
      <c r="B17" s="43" t="s">
        <v>12</v>
      </c>
      <c r="C17" s="44">
        <v>32</v>
      </c>
      <c r="D17" s="45">
        <v>32</v>
      </c>
      <c r="E17" s="45">
        <v>32</v>
      </c>
      <c r="F17" s="45">
        <v>32</v>
      </c>
      <c r="G17" s="45">
        <v>32</v>
      </c>
      <c r="H17" s="45">
        <v>32</v>
      </c>
      <c r="I17" s="45">
        <v>32</v>
      </c>
      <c r="J17" s="45">
        <v>32</v>
      </c>
      <c r="K17" s="45">
        <v>32</v>
      </c>
      <c r="L17" s="45">
        <v>32</v>
      </c>
      <c r="M17" s="45">
        <v>32</v>
      </c>
      <c r="N17" s="46">
        <v>32</v>
      </c>
      <c r="O17" s="30"/>
    </row>
    <row r="18" spans="1:15" ht="34.5" x14ac:dyDescent="0.35">
      <c r="A18" s="134" t="s">
        <v>20</v>
      </c>
      <c r="B18" s="39" t="s">
        <v>10</v>
      </c>
      <c r="C18" s="47" t="s">
        <v>31</v>
      </c>
      <c r="D18" s="49" t="s">
        <v>111</v>
      </c>
      <c r="E18" s="49" t="s">
        <v>117</v>
      </c>
      <c r="F18" s="49" t="s">
        <v>103</v>
      </c>
      <c r="G18" s="49" t="s">
        <v>124</v>
      </c>
      <c r="H18" s="48">
        <v>1</v>
      </c>
      <c r="I18" s="41">
        <v>-0.21214998626818463</v>
      </c>
      <c r="J18" s="41">
        <v>-0.2188190425877391</v>
      </c>
      <c r="K18" s="41">
        <v>0</v>
      </c>
      <c r="L18" s="49" t="s">
        <v>130</v>
      </c>
      <c r="M18" s="49" t="s">
        <v>131</v>
      </c>
      <c r="N18" s="50" t="s">
        <v>132</v>
      </c>
      <c r="O18" s="30"/>
    </row>
    <row r="19" spans="1:15" ht="23" x14ac:dyDescent="0.35">
      <c r="A19" s="135"/>
      <c r="B19" s="39" t="s">
        <v>11</v>
      </c>
      <c r="C19" s="51">
        <v>2.3517410204975306E-4</v>
      </c>
      <c r="D19" s="41">
        <v>1.7325898242362864E-8</v>
      </c>
      <c r="E19" s="41">
        <v>7.557895412263669E-7</v>
      </c>
      <c r="F19" s="41">
        <v>4.9136576449921318E-4</v>
      </c>
      <c r="G19" s="41">
        <v>3.7224483744945917E-5</v>
      </c>
      <c r="H19" s="52"/>
      <c r="I19" s="41">
        <v>0.24374299489360907</v>
      </c>
      <c r="J19" s="41">
        <v>0.22888821505052478</v>
      </c>
      <c r="K19" s="41">
        <v>1</v>
      </c>
      <c r="L19" s="41">
        <v>8.7706857294005732E-3</v>
      </c>
      <c r="M19" s="41">
        <v>8.958751340015083E-3</v>
      </c>
      <c r="N19" s="42">
        <v>1.0484726682837159E-7</v>
      </c>
      <c r="O19" s="30"/>
    </row>
    <row r="20" spans="1:15" x14ac:dyDescent="0.35">
      <c r="A20" s="134"/>
      <c r="B20" s="43" t="s">
        <v>12</v>
      </c>
      <c r="C20" s="44">
        <v>32</v>
      </c>
      <c r="D20" s="45">
        <v>32</v>
      </c>
      <c r="E20" s="45">
        <v>32</v>
      </c>
      <c r="F20" s="45">
        <v>32</v>
      </c>
      <c r="G20" s="45">
        <v>32</v>
      </c>
      <c r="H20" s="45">
        <v>32</v>
      </c>
      <c r="I20" s="45">
        <v>32</v>
      </c>
      <c r="J20" s="45">
        <v>32</v>
      </c>
      <c r="K20" s="45">
        <v>32</v>
      </c>
      <c r="L20" s="45">
        <v>32</v>
      </c>
      <c r="M20" s="45">
        <v>32</v>
      </c>
      <c r="N20" s="46">
        <v>32</v>
      </c>
      <c r="O20" s="30"/>
    </row>
    <row r="21" spans="1:15" ht="34.5" x14ac:dyDescent="0.35">
      <c r="A21" s="134" t="s">
        <v>21</v>
      </c>
      <c r="B21" s="39" t="s">
        <v>10</v>
      </c>
      <c r="C21" s="47" t="s">
        <v>32</v>
      </c>
      <c r="D21" s="49" t="s">
        <v>112</v>
      </c>
      <c r="E21" s="41">
        <v>-0.33487441105139065</v>
      </c>
      <c r="F21" s="41">
        <v>-0.26464768153074791</v>
      </c>
      <c r="G21" s="49" t="s">
        <v>125</v>
      </c>
      <c r="H21" s="41">
        <v>-0.21214998626818463</v>
      </c>
      <c r="I21" s="48">
        <v>1</v>
      </c>
      <c r="J21" s="49" t="s">
        <v>133</v>
      </c>
      <c r="K21" s="41">
        <v>-9.7635219253403308E-2</v>
      </c>
      <c r="L21" s="49" t="s">
        <v>134</v>
      </c>
      <c r="M21" s="49" t="s">
        <v>135</v>
      </c>
      <c r="N21" s="42">
        <v>-0.17435188791671488</v>
      </c>
      <c r="O21" s="30"/>
    </row>
    <row r="22" spans="1:15" ht="23" x14ac:dyDescent="0.35">
      <c r="A22" s="135"/>
      <c r="B22" s="39" t="s">
        <v>11</v>
      </c>
      <c r="C22" s="51">
        <v>1.0947736609582491E-3</v>
      </c>
      <c r="D22" s="41">
        <v>2.9965525406889525E-2</v>
      </c>
      <c r="E22" s="41">
        <v>6.1003610450493934E-2</v>
      </c>
      <c r="F22" s="41">
        <v>0.14326074347017173</v>
      </c>
      <c r="G22" s="41">
        <v>1.7739531373606458E-2</v>
      </c>
      <c r="H22" s="41">
        <v>0.24374299489360907</v>
      </c>
      <c r="I22" s="52"/>
      <c r="J22" s="41">
        <v>1.5859818891267668E-4</v>
      </c>
      <c r="K22" s="41">
        <v>0.59499816969735486</v>
      </c>
      <c r="L22" s="41">
        <v>1.438075392132119E-4</v>
      </c>
      <c r="M22" s="41">
        <v>3.7866738802054063E-3</v>
      </c>
      <c r="N22" s="42">
        <v>0.33989129405428486</v>
      </c>
      <c r="O22" s="30"/>
    </row>
    <row r="23" spans="1:15" x14ac:dyDescent="0.35">
      <c r="A23" s="134"/>
      <c r="B23" s="43" t="s">
        <v>12</v>
      </c>
      <c r="C23" s="44">
        <v>32</v>
      </c>
      <c r="D23" s="45">
        <v>32</v>
      </c>
      <c r="E23" s="45">
        <v>32</v>
      </c>
      <c r="F23" s="45">
        <v>32</v>
      </c>
      <c r="G23" s="45">
        <v>32</v>
      </c>
      <c r="H23" s="45">
        <v>32</v>
      </c>
      <c r="I23" s="45">
        <v>32</v>
      </c>
      <c r="J23" s="45">
        <v>32</v>
      </c>
      <c r="K23" s="45">
        <v>32</v>
      </c>
      <c r="L23" s="45">
        <v>32</v>
      </c>
      <c r="M23" s="45">
        <v>32</v>
      </c>
      <c r="N23" s="46">
        <v>32</v>
      </c>
      <c r="O23" s="30"/>
    </row>
    <row r="24" spans="1:15" ht="34.5" x14ac:dyDescent="0.35">
      <c r="A24" s="134" t="s">
        <v>22</v>
      </c>
      <c r="B24" s="39" t="s">
        <v>10</v>
      </c>
      <c r="C24" s="47" t="s">
        <v>33</v>
      </c>
      <c r="D24" s="41">
        <v>-0.29481738963820081</v>
      </c>
      <c r="E24" s="41">
        <v>-7.5592894601845442E-2</v>
      </c>
      <c r="F24" s="41">
        <v>-6.6666666666666666E-2</v>
      </c>
      <c r="G24" s="49" t="s">
        <v>126</v>
      </c>
      <c r="H24" s="41">
        <v>-0.2188190425877391</v>
      </c>
      <c r="I24" s="49" t="s">
        <v>133</v>
      </c>
      <c r="J24" s="48">
        <v>1</v>
      </c>
      <c r="K24" s="41">
        <v>4.0406101782088429E-2</v>
      </c>
      <c r="L24" s="41">
        <v>-0.33889151306445942</v>
      </c>
      <c r="M24" s="49" t="s">
        <v>136</v>
      </c>
      <c r="N24" s="42">
        <v>3.5026753142938745E-2</v>
      </c>
      <c r="O24" s="30"/>
    </row>
    <row r="25" spans="1:15" ht="23" x14ac:dyDescent="0.35">
      <c r="A25" s="135"/>
      <c r="B25" s="39" t="s">
        <v>11</v>
      </c>
      <c r="C25" s="51">
        <v>1.9599291183942633E-2</v>
      </c>
      <c r="D25" s="41">
        <v>0.10141626123369342</v>
      </c>
      <c r="E25" s="41">
        <v>0.68093025825286868</v>
      </c>
      <c r="F25" s="41">
        <v>0.71696113797573968</v>
      </c>
      <c r="G25" s="41">
        <v>1.0260118080042367E-2</v>
      </c>
      <c r="H25" s="41">
        <v>0.22888821505052478</v>
      </c>
      <c r="I25" s="41">
        <v>1.5859818891267668E-4</v>
      </c>
      <c r="J25" s="52"/>
      <c r="K25" s="41">
        <v>0.82620841566686487</v>
      </c>
      <c r="L25" s="41">
        <v>5.7779672868276233E-2</v>
      </c>
      <c r="M25" s="41">
        <v>6.9625872827330272E-3</v>
      </c>
      <c r="N25" s="42">
        <v>0.84906137689283034</v>
      </c>
      <c r="O25" s="30"/>
    </row>
    <row r="26" spans="1:15" x14ac:dyDescent="0.35">
      <c r="A26" s="134"/>
      <c r="B26" s="43" t="s">
        <v>12</v>
      </c>
      <c r="C26" s="44">
        <v>32</v>
      </c>
      <c r="D26" s="45">
        <v>32</v>
      </c>
      <c r="E26" s="45">
        <v>32</v>
      </c>
      <c r="F26" s="45">
        <v>32</v>
      </c>
      <c r="G26" s="45">
        <v>32</v>
      </c>
      <c r="H26" s="45">
        <v>32</v>
      </c>
      <c r="I26" s="45">
        <v>32</v>
      </c>
      <c r="J26" s="45">
        <v>32</v>
      </c>
      <c r="K26" s="45">
        <v>32</v>
      </c>
      <c r="L26" s="45">
        <v>32</v>
      </c>
      <c r="M26" s="45">
        <v>32</v>
      </c>
      <c r="N26" s="46">
        <v>32</v>
      </c>
      <c r="O26" s="30"/>
    </row>
    <row r="27" spans="1:15" ht="34.5" x14ac:dyDescent="0.35">
      <c r="A27" s="134" t="s">
        <v>23</v>
      </c>
      <c r="B27" s="39" t="s">
        <v>10</v>
      </c>
      <c r="C27" s="51">
        <v>5.9855027126210915E-2</v>
      </c>
      <c r="D27" s="41">
        <v>0</v>
      </c>
      <c r="E27" s="41">
        <v>0.2004459314343183</v>
      </c>
      <c r="F27" s="41">
        <v>0.13468700594029479</v>
      </c>
      <c r="G27" s="41">
        <v>6.8021702385143573E-2</v>
      </c>
      <c r="H27" s="41">
        <v>0</v>
      </c>
      <c r="I27" s="41">
        <v>-9.7635219253403308E-2</v>
      </c>
      <c r="J27" s="41">
        <v>4.0406101782088429E-2</v>
      </c>
      <c r="K27" s="48">
        <v>1</v>
      </c>
      <c r="L27" s="49" t="s">
        <v>97</v>
      </c>
      <c r="M27" s="41">
        <v>0</v>
      </c>
      <c r="N27" s="50" t="s">
        <v>130</v>
      </c>
      <c r="O27" s="30"/>
    </row>
    <row r="28" spans="1:15" ht="23" x14ac:dyDescent="0.35">
      <c r="A28" s="135"/>
      <c r="B28" s="39" t="s">
        <v>11</v>
      </c>
      <c r="C28" s="51">
        <v>0.74486932888513779</v>
      </c>
      <c r="D28" s="41">
        <v>1</v>
      </c>
      <c r="E28" s="41">
        <v>0.27133600800609275</v>
      </c>
      <c r="F28" s="41">
        <v>0.46236960308852171</v>
      </c>
      <c r="G28" s="41">
        <v>0.71145059203932959</v>
      </c>
      <c r="H28" s="41">
        <v>1</v>
      </c>
      <c r="I28" s="41">
        <v>0.59499816969735486</v>
      </c>
      <c r="J28" s="41">
        <v>0.82620841566686487</v>
      </c>
      <c r="K28" s="52"/>
      <c r="L28" s="41">
        <v>2.163320077426293E-2</v>
      </c>
      <c r="M28" s="41">
        <v>1</v>
      </c>
      <c r="N28" s="42">
        <v>8.7618618911392294E-3</v>
      </c>
      <c r="O28" s="30"/>
    </row>
    <row r="29" spans="1:15" x14ac:dyDescent="0.35">
      <c r="A29" s="134"/>
      <c r="B29" s="43" t="s">
        <v>12</v>
      </c>
      <c r="C29" s="44">
        <v>32</v>
      </c>
      <c r="D29" s="45">
        <v>32</v>
      </c>
      <c r="E29" s="45">
        <v>32</v>
      </c>
      <c r="F29" s="45">
        <v>32</v>
      </c>
      <c r="G29" s="45">
        <v>32</v>
      </c>
      <c r="H29" s="45">
        <v>32</v>
      </c>
      <c r="I29" s="45">
        <v>32</v>
      </c>
      <c r="J29" s="45">
        <v>32</v>
      </c>
      <c r="K29" s="45">
        <v>32</v>
      </c>
      <c r="L29" s="45">
        <v>32</v>
      </c>
      <c r="M29" s="45">
        <v>32</v>
      </c>
      <c r="N29" s="46">
        <v>32</v>
      </c>
      <c r="O29" s="30"/>
    </row>
    <row r="30" spans="1:15" ht="34.5" x14ac:dyDescent="0.35">
      <c r="A30" s="134" t="s">
        <v>24</v>
      </c>
      <c r="B30" s="39" t="s">
        <v>10</v>
      </c>
      <c r="C30" s="51">
        <v>0.34880076451703185</v>
      </c>
      <c r="D30" s="49" t="s">
        <v>113</v>
      </c>
      <c r="E30" s="49" t="s">
        <v>118</v>
      </c>
      <c r="F30" s="49" t="s">
        <v>121</v>
      </c>
      <c r="G30" s="49" t="s">
        <v>127</v>
      </c>
      <c r="H30" s="49" t="s">
        <v>130</v>
      </c>
      <c r="I30" s="49" t="s">
        <v>134</v>
      </c>
      <c r="J30" s="41">
        <v>-0.33889151306445942</v>
      </c>
      <c r="K30" s="49" t="s">
        <v>97</v>
      </c>
      <c r="L30" s="48">
        <v>1</v>
      </c>
      <c r="M30" s="49" t="s">
        <v>137</v>
      </c>
      <c r="N30" s="50" t="s">
        <v>138</v>
      </c>
      <c r="O30" s="30"/>
    </row>
    <row r="31" spans="1:15" ht="23" x14ac:dyDescent="0.35">
      <c r="A31" s="135"/>
      <c r="B31" s="39" t="s">
        <v>11</v>
      </c>
      <c r="C31" s="51">
        <v>5.040000800405299E-2</v>
      </c>
      <c r="D31" s="41">
        <v>1.8473118415676341E-2</v>
      </c>
      <c r="E31" s="41">
        <v>2.0827672968953357E-3</v>
      </c>
      <c r="F31" s="41">
        <v>3.1209436058174168E-3</v>
      </c>
      <c r="G31" s="41">
        <v>6.5786577394866168E-3</v>
      </c>
      <c r="H31" s="41">
        <v>8.7706857294005732E-3</v>
      </c>
      <c r="I31" s="41">
        <v>1.438075392132119E-4</v>
      </c>
      <c r="J31" s="41">
        <v>5.7779672868276233E-2</v>
      </c>
      <c r="K31" s="41">
        <v>2.163320077426293E-2</v>
      </c>
      <c r="L31" s="52"/>
      <c r="M31" s="41">
        <v>7.2750326085405407E-3</v>
      </c>
      <c r="N31" s="42">
        <v>6.9215071193356312E-5</v>
      </c>
      <c r="O31" s="30"/>
    </row>
    <row r="32" spans="1:15" x14ac:dyDescent="0.35">
      <c r="A32" s="134"/>
      <c r="B32" s="43" t="s">
        <v>12</v>
      </c>
      <c r="C32" s="44">
        <v>32</v>
      </c>
      <c r="D32" s="45">
        <v>32</v>
      </c>
      <c r="E32" s="45">
        <v>32</v>
      </c>
      <c r="F32" s="45">
        <v>32</v>
      </c>
      <c r="G32" s="45">
        <v>32</v>
      </c>
      <c r="H32" s="45">
        <v>32</v>
      </c>
      <c r="I32" s="45">
        <v>32</v>
      </c>
      <c r="J32" s="45">
        <v>32</v>
      </c>
      <c r="K32" s="45">
        <v>32</v>
      </c>
      <c r="L32" s="45">
        <v>32</v>
      </c>
      <c r="M32" s="45">
        <v>32</v>
      </c>
      <c r="N32" s="46">
        <v>32</v>
      </c>
      <c r="O32" s="30"/>
    </row>
    <row r="33" spans="1:15" ht="34.5" x14ac:dyDescent="0.35">
      <c r="A33" s="134" t="s">
        <v>25</v>
      </c>
      <c r="B33" s="39" t="s">
        <v>10</v>
      </c>
      <c r="C33" s="47" t="s">
        <v>34</v>
      </c>
      <c r="D33" s="49" t="s">
        <v>114</v>
      </c>
      <c r="E33" s="41">
        <v>0.34752402342845795</v>
      </c>
      <c r="F33" s="49" t="s">
        <v>122</v>
      </c>
      <c r="G33" s="49" t="s">
        <v>128</v>
      </c>
      <c r="H33" s="49" t="s">
        <v>131</v>
      </c>
      <c r="I33" s="49" t="s">
        <v>135</v>
      </c>
      <c r="J33" s="49" t="s">
        <v>136</v>
      </c>
      <c r="K33" s="41">
        <v>0</v>
      </c>
      <c r="L33" s="49" t="s">
        <v>137</v>
      </c>
      <c r="M33" s="48">
        <v>1</v>
      </c>
      <c r="N33" s="50" t="s">
        <v>131</v>
      </c>
      <c r="O33" s="30"/>
    </row>
    <row r="34" spans="1:15" ht="23" x14ac:dyDescent="0.35">
      <c r="A34" s="135"/>
      <c r="B34" s="39" t="s">
        <v>11</v>
      </c>
      <c r="C34" s="51">
        <v>2.018019515658968E-3</v>
      </c>
      <c r="D34" s="41">
        <v>1.390480312718197E-2</v>
      </c>
      <c r="E34" s="41">
        <v>5.130642950085991E-2</v>
      </c>
      <c r="F34" s="41">
        <v>1.426395134585777E-2</v>
      </c>
      <c r="G34" s="41">
        <v>1.8154441011481468E-4</v>
      </c>
      <c r="H34" s="41">
        <v>8.958751340015083E-3</v>
      </c>
      <c r="I34" s="41">
        <v>3.7866738802054063E-3</v>
      </c>
      <c r="J34" s="41">
        <v>6.9625872827330272E-3</v>
      </c>
      <c r="K34" s="41">
        <v>1</v>
      </c>
      <c r="L34" s="41">
        <v>7.2750326085405407E-3</v>
      </c>
      <c r="M34" s="52"/>
      <c r="N34" s="42">
        <v>8.9262248837908981E-3</v>
      </c>
      <c r="O34" s="30"/>
    </row>
    <row r="35" spans="1:15" x14ac:dyDescent="0.35">
      <c r="A35" s="134"/>
      <c r="B35" s="43" t="s">
        <v>12</v>
      </c>
      <c r="C35" s="44">
        <v>32</v>
      </c>
      <c r="D35" s="45">
        <v>32</v>
      </c>
      <c r="E35" s="45">
        <v>32</v>
      </c>
      <c r="F35" s="45">
        <v>32</v>
      </c>
      <c r="G35" s="45">
        <v>32</v>
      </c>
      <c r="H35" s="45">
        <v>32</v>
      </c>
      <c r="I35" s="45">
        <v>32</v>
      </c>
      <c r="J35" s="45">
        <v>32</v>
      </c>
      <c r="K35" s="45">
        <v>32</v>
      </c>
      <c r="L35" s="45">
        <v>32</v>
      </c>
      <c r="M35" s="45">
        <v>32</v>
      </c>
      <c r="N35" s="46">
        <v>32</v>
      </c>
      <c r="O35" s="30"/>
    </row>
    <row r="36" spans="1:15" ht="34.5" x14ac:dyDescent="0.35">
      <c r="A36" s="134" t="s">
        <v>26</v>
      </c>
      <c r="B36" s="39" t="s">
        <v>10</v>
      </c>
      <c r="C36" s="47" t="s">
        <v>35</v>
      </c>
      <c r="D36" s="49" t="s">
        <v>115</v>
      </c>
      <c r="E36" s="49" t="s">
        <v>119</v>
      </c>
      <c r="F36" s="49" t="s">
        <v>123</v>
      </c>
      <c r="G36" s="49" t="s">
        <v>129</v>
      </c>
      <c r="H36" s="49" t="s">
        <v>132</v>
      </c>
      <c r="I36" s="41">
        <v>-0.17435188791671488</v>
      </c>
      <c r="J36" s="41">
        <v>3.5026753142938745E-2</v>
      </c>
      <c r="K36" s="49" t="s">
        <v>130</v>
      </c>
      <c r="L36" s="49" t="s">
        <v>138</v>
      </c>
      <c r="M36" s="49" t="s">
        <v>131</v>
      </c>
      <c r="N36" s="53">
        <v>1</v>
      </c>
      <c r="O36" s="30"/>
    </row>
    <row r="37" spans="1:15" ht="23" x14ac:dyDescent="0.35">
      <c r="A37" s="135"/>
      <c r="B37" s="39" t="s">
        <v>11</v>
      </c>
      <c r="C37" s="51">
        <v>1.3998428644218413E-3</v>
      </c>
      <c r="D37" s="41">
        <v>1.5511887167702783E-5</v>
      </c>
      <c r="E37" s="41">
        <v>4.8090071466535115E-8</v>
      </c>
      <c r="F37" s="41">
        <v>2.5391012059837474E-6</v>
      </c>
      <c r="G37" s="41">
        <v>1.168778607429698E-4</v>
      </c>
      <c r="H37" s="41">
        <v>1.0484726682837159E-7</v>
      </c>
      <c r="I37" s="41">
        <v>0.33989129405428486</v>
      </c>
      <c r="J37" s="41">
        <v>0.84906137689283034</v>
      </c>
      <c r="K37" s="41">
        <v>8.7618618911392294E-3</v>
      </c>
      <c r="L37" s="41">
        <v>6.9215071193356312E-5</v>
      </c>
      <c r="M37" s="41">
        <v>8.9262248837908981E-3</v>
      </c>
      <c r="N37" s="54"/>
      <c r="O37" s="30"/>
    </row>
    <row r="38" spans="1:15" x14ac:dyDescent="0.35">
      <c r="A38" s="136"/>
      <c r="B38" s="55" t="s">
        <v>12</v>
      </c>
      <c r="C38" s="56">
        <v>32</v>
      </c>
      <c r="D38" s="57">
        <v>32</v>
      </c>
      <c r="E38" s="57">
        <v>32</v>
      </c>
      <c r="F38" s="57">
        <v>32</v>
      </c>
      <c r="G38" s="57">
        <v>32</v>
      </c>
      <c r="H38" s="57">
        <v>32</v>
      </c>
      <c r="I38" s="57">
        <v>32</v>
      </c>
      <c r="J38" s="57">
        <v>32</v>
      </c>
      <c r="K38" s="57">
        <v>32</v>
      </c>
      <c r="L38" s="57">
        <v>32</v>
      </c>
      <c r="M38" s="57">
        <v>32</v>
      </c>
      <c r="N38" s="58">
        <v>32</v>
      </c>
      <c r="O38" s="30"/>
    </row>
    <row r="39" spans="1:15" x14ac:dyDescent="0.35">
      <c r="A39" s="137" t="s">
        <v>14</v>
      </c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30"/>
    </row>
    <row r="40" spans="1:15" x14ac:dyDescent="0.35">
      <c r="A40" s="137" t="s">
        <v>13</v>
      </c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30"/>
    </row>
  </sheetData>
  <mergeCells count="17">
    <mergeCell ref="U1:V1"/>
    <mergeCell ref="A15:A17"/>
    <mergeCell ref="A18:A20"/>
    <mergeCell ref="A21:A23"/>
    <mergeCell ref="A24:A26"/>
    <mergeCell ref="A1:N1"/>
    <mergeCell ref="A2:B2"/>
    <mergeCell ref="A3:A5"/>
    <mergeCell ref="A6:A8"/>
    <mergeCell ref="A9:A11"/>
    <mergeCell ref="A12:A14"/>
    <mergeCell ref="A33:A35"/>
    <mergeCell ref="A36:A38"/>
    <mergeCell ref="A39:N39"/>
    <mergeCell ref="A40:N40"/>
    <mergeCell ref="A27:A29"/>
    <mergeCell ref="A30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5C93-2F3F-424E-81AC-9C8A361147CC}">
  <dimension ref="A1:AG64"/>
  <sheetViews>
    <sheetView topLeftCell="V1" workbookViewId="0">
      <selection activeCell="AF2" sqref="AF2:AG3"/>
    </sheetView>
  </sheetViews>
  <sheetFormatPr defaultRowHeight="14.5" x14ac:dyDescent="0.35"/>
  <sheetData>
    <row r="1" spans="1:33" x14ac:dyDescent="0.35">
      <c r="A1" s="144" t="s">
        <v>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59"/>
      <c r="AC1" s="144" t="s">
        <v>70</v>
      </c>
      <c r="AD1" s="144"/>
      <c r="AE1" s="59"/>
    </row>
    <row r="2" spans="1:33" ht="24" x14ac:dyDescent="0.35">
      <c r="A2" s="146" t="s">
        <v>0</v>
      </c>
      <c r="B2" s="146"/>
      <c r="C2" s="60" t="s">
        <v>36</v>
      </c>
      <c r="D2" s="61" t="s">
        <v>37</v>
      </c>
      <c r="E2" s="61" t="s">
        <v>38</v>
      </c>
      <c r="F2" s="61" t="s">
        <v>39</v>
      </c>
      <c r="G2" s="61" t="s">
        <v>40</v>
      </c>
      <c r="H2" s="61" t="s">
        <v>41</v>
      </c>
      <c r="I2" s="61" t="s">
        <v>42</v>
      </c>
      <c r="J2" s="61" t="s">
        <v>43</v>
      </c>
      <c r="K2" s="61" t="s">
        <v>44</v>
      </c>
      <c r="L2" s="61" t="s">
        <v>45</v>
      </c>
      <c r="M2" s="61" t="s">
        <v>46</v>
      </c>
      <c r="N2" s="61" t="s">
        <v>47</v>
      </c>
      <c r="O2" s="61" t="s">
        <v>48</v>
      </c>
      <c r="P2" s="61" t="s">
        <v>49</v>
      </c>
      <c r="Q2" s="61" t="s">
        <v>50</v>
      </c>
      <c r="R2" s="61" t="s">
        <v>51</v>
      </c>
      <c r="S2" s="61" t="s">
        <v>52</v>
      </c>
      <c r="T2" s="61" t="s">
        <v>53</v>
      </c>
      <c r="U2" s="61" t="s">
        <v>54</v>
      </c>
      <c r="V2" s="62" t="s">
        <v>55</v>
      </c>
      <c r="W2" s="59"/>
      <c r="X2" s="125" t="s">
        <v>73</v>
      </c>
      <c r="Y2" s="125" t="s">
        <v>74</v>
      </c>
      <c r="Z2" s="125" t="s">
        <v>75</v>
      </c>
      <c r="AA2" s="125" t="s">
        <v>76</v>
      </c>
      <c r="AC2" s="60" t="s">
        <v>71</v>
      </c>
      <c r="AD2" s="62" t="s">
        <v>72</v>
      </c>
      <c r="AE2" s="59"/>
      <c r="AF2" s="125" t="s">
        <v>71</v>
      </c>
      <c r="AG2" s="125" t="s">
        <v>76</v>
      </c>
    </row>
    <row r="3" spans="1:33" ht="34.5" x14ac:dyDescent="0.35">
      <c r="A3" s="147" t="s">
        <v>36</v>
      </c>
      <c r="B3" s="63" t="s">
        <v>10</v>
      </c>
      <c r="C3" s="64">
        <v>1</v>
      </c>
      <c r="D3" s="65" t="s">
        <v>139</v>
      </c>
      <c r="E3" s="65" t="s">
        <v>140</v>
      </c>
      <c r="F3" s="65" t="s">
        <v>141</v>
      </c>
      <c r="G3" s="65" t="s">
        <v>142</v>
      </c>
      <c r="H3" s="65" t="s">
        <v>143</v>
      </c>
      <c r="I3" s="65" t="s">
        <v>144</v>
      </c>
      <c r="J3" s="66">
        <v>0.27373457910261312</v>
      </c>
      <c r="K3" s="66">
        <v>0.28111656741218982</v>
      </c>
      <c r="L3" s="65" t="s">
        <v>145</v>
      </c>
      <c r="M3" s="66">
        <v>0.20064308847628201</v>
      </c>
      <c r="N3" s="66">
        <v>0.2997345975546763</v>
      </c>
      <c r="O3" s="66">
        <v>0.19781414201873609</v>
      </c>
      <c r="P3" s="66">
        <v>0.30330925737798053</v>
      </c>
      <c r="Q3" s="66">
        <v>0.20124024184570943</v>
      </c>
      <c r="R3" s="66">
        <v>0.17748862770716778</v>
      </c>
      <c r="S3" s="66">
        <v>2.3200114660405575E-2</v>
      </c>
      <c r="T3" s="66">
        <v>4.0987737483510887E-2</v>
      </c>
      <c r="U3" s="66">
        <v>0.27929018668848443</v>
      </c>
      <c r="V3" s="67" t="s">
        <v>224</v>
      </c>
      <c r="W3" s="59"/>
      <c r="X3" t="str" cm="1">
        <f t="array" aca="1" ref="X3" ca="1">INDIRECT("A" &amp; (ROW(X1)*3))</f>
        <v>BO1</v>
      </c>
      <c r="Y3" t="str" cm="1">
        <f t="array" aca="1" ref="Y3" ca="1">INDIRECT("V" &amp; (ROW(X1)*3))</f>
        <v>0,500**</v>
      </c>
      <c r="Z3" cm="1">
        <f t="array" aca="1" ref="Z3" ca="1">INDIRECT("V" &amp; (ROW(V1)*3+1))</f>
        <v>3.5480628661562247E-3</v>
      </c>
      <c r="AA3" t="str">
        <f ca="1">IF(Z3&lt;0.05,"Valid","Tidak Valid")</f>
        <v>Valid</v>
      </c>
      <c r="AC3" s="121">
        <v>0.93728050330726309</v>
      </c>
      <c r="AD3" s="122">
        <v>19</v>
      </c>
      <c r="AE3" s="59"/>
      <c r="AF3" s="126">
        <f>AC3</f>
        <v>0.93728050330726309</v>
      </c>
      <c r="AG3" t="str">
        <f>IF(AF3&gt;0.6,"Reliabel","Tidak Reliabel")</f>
        <v>Reliabel</v>
      </c>
    </row>
    <row r="4" spans="1:33" ht="23" x14ac:dyDescent="0.35">
      <c r="A4" s="142"/>
      <c r="B4" s="68" t="s">
        <v>11</v>
      </c>
      <c r="C4" s="69"/>
      <c r="D4" s="70">
        <v>1.2437691911835902E-6</v>
      </c>
      <c r="E4" s="70">
        <v>2.967133885550271E-3</v>
      </c>
      <c r="F4" s="70">
        <v>1.519145135000275E-4</v>
      </c>
      <c r="G4" s="70">
        <v>3.3914111254256356E-2</v>
      </c>
      <c r="H4" s="70">
        <v>7.8338025327461033E-3</v>
      </c>
      <c r="I4" s="70">
        <v>2.2059328469177211E-2</v>
      </c>
      <c r="J4" s="70">
        <v>0.12952107956722603</v>
      </c>
      <c r="K4" s="70">
        <v>0.11909441918454207</v>
      </c>
      <c r="L4" s="70">
        <v>1.2964086959141025E-2</v>
      </c>
      <c r="M4" s="70">
        <v>0.27085504651240527</v>
      </c>
      <c r="N4" s="70">
        <v>9.5580982003756698E-2</v>
      </c>
      <c r="O4" s="70">
        <v>0.27780936659387301</v>
      </c>
      <c r="P4" s="70">
        <v>9.1501659155710652E-2</v>
      </c>
      <c r="Q4" s="70">
        <v>0.26940168478774912</v>
      </c>
      <c r="R4" s="70">
        <v>0.33113703481028689</v>
      </c>
      <c r="S4" s="70">
        <v>0.89970427485462301</v>
      </c>
      <c r="T4" s="70">
        <v>0.82374547106919516</v>
      </c>
      <c r="U4" s="70">
        <v>0.12161394380524755</v>
      </c>
      <c r="V4" s="71">
        <v>3.5480628661562247E-3</v>
      </c>
      <c r="W4" s="59"/>
      <c r="X4" t="str" cm="1">
        <f t="array" aca="1" ref="X4" ca="1">INDIRECT("A" &amp; (ROW(X2)*3))</f>
        <v>BO2</v>
      </c>
      <c r="Y4" t="str" cm="1">
        <f t="array" aca="1" ref="Y4" ca="1">INDIRECT("V" &amp; (ROW(X2)*3))</f>
        <v>0,371*</v>
      </c>
      <c r="Z4" cm="1">
        <f t="array" aca="1" ref="Z4" ca="1">INDIRECT("V" &amp; (ROW(V2)*3+1))</f>
        <v>3.6744703247953189E-2</v>
      </c>
      <c r="AA4" t="str">
        <f t="shared" ref="AA4:AA21" ca="1" si="0">IF(Z4&lt;0.05,"Valid","Tidak Valid")</f>
        <v>Valid</v>
      </c>
    </row>
    <row r="5" spans="1:33" x14ac:dyDescent="0.35">
      <c r="A5" s="141"/>
      <c r="B5" s="72" t="s">
        <v>12</v>
      </c>
      <c r="C5" s="73">
        <v>32</v>
      </c>
      <c r="D5" s="74">
        <v>32</v>
      </c>
      <c r="E5" s="74">
        <v>32</v>
      </c>
      <c r="F5" s="74">
        <v>32</v>
      </c>
      <c r="G5" s="74">
        <v>32</v>
      </c>
      <c r="H5" s="74">
        <v>32</v>
      </c>
      <c r="I5" s="74">
        <v>32</v>
      </c>
      <c r="J5" s="74">
        <v>32</v>
      </c>
      <c r="K5" s="74">
        <v>32</v>
      </c>
      <c r="L5" s="74">
        <v>32</v>
      </c>
      <c r="M5" s="74">
        <v>32</v>
      </c>
      <c r="N5" s="74">
        <v>32</v>
      </c>
      <c r="O5" s="74">
        <v>32</v>
      </c>
      <c r="P5" s="74">
        <v>32</v>
      </c>
      <c r="Q5" s="74">
        <v>32</v>
      </c>
      <c r="R5" s="74">
        <v>32</v>
      </c>
      <c r="S5" s="74">
        <v>32</v>
      </c>
      <c r="T5" s="74">
        <v>32</v>
      </c>
      <c r="U5" s="74">
        <v>32</v>
      </c>
      <c r="V5" s="75">
        <v>32</v>
      </c>
      <c r="W5" s="59"/>
      <c r="X5" t="str" cm="1">
        <f t="array" aca="1" ref="X5" ca="1">INDIRECT("A" &amp; (ROW(X3)*3))</f>
        <v>BO3</v>
      </c>
      <c r="Y5" t="str" cm="1">
        <f t="array" aca="1" ref="Y5" ca="1">INDIRECT("V" &amp; (ROW(X3)*3))</f>
        <v>0,441*</v>
      </c>
      <c r="Z5" cm="1">
        <f t="array" aca="1" ref="Z5" ca="1">INDIRECT("V" &amp; (ROW(V3)*3+1))</f>
        <v>1.1500942355665896E-2</v>
      </c>
      <c r="AA5" t="str">
        <f t="shared" ca="1" si="0"/>
        <v>Valid</v>
      </c>
    </row>
    <row r="6" spans="1:33" ht="34.5" x14ac:dyDescent="0.35">
      <c r="A6" s="141" t="s">
        <v>37</v>
      </c>
      <c r="B6" s="68" t="s">
        <v>10</v>
      </c>
      <c r="C6" s="76" t="s">
        <v>139</v>
      </c>
      <c r="D6" s="77">
        <v>1</v>
      </c>
      <c r="E6" s="78" t="s">
        <v>146</v>
      </c>
      <c r="F6" s="78" t="s">
        <v>108</v>
      </c>
      <c r="G6" s="70">
        <v>0.16502408076686031</v>
      </c>
      <c r="H6" s="78" t="s">
        <v>147</v>
      </c>
      <c r="I6" s="78" t="s">
        <v>148</v>
      </c>
      <c r="J6" s="70">
        <v>0.18744806778279025</v>
      </c>
      <c r="K6" s="70">
        <v>0.14987266233254515</v>
      </c>
      <c r="L6" s="78" t="s">
        <v>88</v>
      </c>
      <c r="M6" s="70">
        <v>0.10183501544346311</v>
      </c>
      <c r="N6" s="70">
        <v>0.28851905178556797</v>
      </c>
      <c r="O6" s="70">
        <v>0.11952286093343936</v>
      </c>
      <c r="P6" s="70">
        <v>0.20505857076246331</v>
      </c>
      <c r="Q6" s="70">
        <v>-4.3773469935738822E-2</v>
      </c>
      <c r="R6" s="70">
        <v>-7.6044199474636046E-2</v>
      </c>
      <c r="S6" s="70">
        <v>-3.644660856767986E-2</v>
      </c>
      <c r="T6" s="70">
        <v>-0.17533993731862804</v>
      </c>
      <c r="U6" s="70">
        <v>5.2159756044518425E-2</v>
      </c>
      <c r="V6" s="79" t="s">
        <v>225</v>
      </c>
      <c r="W6" s="59"/>
      <c r="X6" t="str" cm="1">
        <f t="array" aca="1" ref="X6" ca="1">INDIRECT("A" &amp; (ROW(X4)*3))</f>
        <v>BO4</v>
      </c>
      <c r="Y6" t="str" cm="1">
        <f t="array" aca="1" ref="Y6" ca="1">INDIRECT("V" &amp; (ROW(X4)*3))</f>
        <v>0,610**</v>
      </c>
      <c r="Z6" cm="1">
        <f t="array" aca="1" ref="Z6" ca="1">INDIRECT("V" &amp; (ROW(V4)*3+1))</f>
        <v>2.1101342240920567E-4</v>
      </c>
      <c r="AA6" t="str">
        <f t="shared" ca="1" si="0"/>
        <v>Valid</v>
      </c>
    </row>
    <row r="7" spans="1:33" ht="23" x14ac:dyDescent="0.35">
      <c r="A7" s="142"/>
      <c r="B7" s="68" t="s">
        <v>11</v>
      </c>
      <c r="C7" s="80">
        <v>1.2437691911835902E-6</v>
      </c>
      <c r="D7" s="81"/>
      <c r="E7" s="70">
        <v>8.6896474764460743E-6</v>
      </c>
      <c r="F7" s="70">
        <v>1.4020944106080369E-3</v>
      </c>
      <c r="G7" s="70">
        <v>0.36674537614505121</v>
      </c>
      <c r="H7" s="70">
        <v>1.3965381936258058E-2</v>
      </c>
      <c r="I7" s="70">
        <v>4.4992240539427811E-2</v>
      </c>
      <c r="J7" s="70">
        <v>0.30426941885157816</v>
      </c>
      <c r="K7" s="70">
        <v>0.41294827133369694</v>
      </c>
      <c r="L7" s="70">
        <v>1.1149119105274385E-2</v>
      </c>
      <c r="M7" s="70">
        <v>0.57917398197997094</v>
      </c>
      <c r="N7" s="70">
        <v>0.10927887872432336</v>
      </c>
      <c r="O7" s="70">
        <v>0.51468165554090151</v>
      </c>
      <c r="P7" s="70">
        <v>0.26022877852964488</v>
      </c>
      <c r="Q7" s="70">
        <v>0.81197246239481624</v>
      </c>
      <c r="R7" s="70">
        <v>0.67912599446340227</v>
      </c>
      <c r="S7" s="70">
        <v>0.84301694590432086</v>
      </c>
      <c r="T7" s="70">
        <v>0.33711871254215742</v>
      </c>
      <c r="U7" s="70">
        <v>0.77678296220600573</v>
      </c>
      <c r="V7" s="71">
        <v>3.6744703247953189E-2</v>
      </c>
      <c r="W7" s="59"/>
      <c r="X7" t="str" cm="1">
        <f t="array" aca="1" ref="X7" ca="1">INDIRECT("A" &amp; (ROW(X5)*3))</f>
        <v>BO5</v>
      </c>
      <c r="Y7" t="str" cm="1">
        <f t="array" aca="1" ref="Y7" ca="1">INDIRECT("V" &amp; (ROW(X5)*3))</f>
        <v>0,737**</v>
      </c>
      <c r="Z7" cm="1">
        <f t="array" aca="1" ref="Z7" ca="1">INDIRECT("V" &amp; (ROW(V5)*3+1))</f>
        <v>1.4958627697463325E-6</v>
      </c>
      <c r="AA7" t="str">
        <f t="shared" ca="1" si="0"/>
        <v>Valid</v>
      </c>
    </row>
    <row r="8" spans="1:33" x14ac:dyDescent="0.35">
      <c r="A8" s="141"/>
      <c r="B8" s="72" t="s">
        <v>12</v>
      </c>
      <c r="C8" s="73">
        <v>32</v>
      </c>
      <c r="D8" s="74">
        <v>32</v>
      </c>
      <c r="E8" s="74">
        <v>32</v>
      </c>
      <c r="F8" s="74">
        <v>32</v>
      </c>
      <c r="G8" s="74">
        <v>32</v>
      </c>
      <c r="H8" s="74">
        <v>32</v>
      </c>
      <c r="I8" s="74">
        <v>32</v>
      </c>
      <c r="J8" s="74">
        <v>32</v>
      </c>
      <c r="K8" s="74">
        <v>32</v>
      </c>
      <c r="L8" s="74">
        <v>32</v>
      </c>
      <c r="M8" s="74">
        <v>32</v>
      </c>
      <c r="N8" s="74">
        <v>32</v>
      </c>
      <c r="O8" s="74">
        <v>32</v>
      </c>
      <c r="P8" s="74">
        <v>32</v>
      </c>
      <c r="Q8" s="74">
        <v>32</v>
      </c>
      <c r="R8" s="74">
        <v>32</v>
      </c>
      <c r="S8" s="74">
        <v>32</v>
      </c>
      <c r="T8" s="74">
        <v>32</v>
      </c>
      <c r="U8" s="74">
        <v>32</v>
      </c>
      <c r="V8" s="75">
        <v>32</v>
      </c>
      <c r="W8" s="59"/>
      <c r="X8" t="str" cm="1">
        <f t="array" aca="1" ref="X8" ca="1">INDIRECT("A" &amp; (ROW(X6)*3))</f>
        <v>BO6</v>
      </c>
      <c r="Y8" t="str" cm="1">
        <f t="array" aca="1" ref="Y8" ca="1">INDIRECT("V" &amp; (ROW(X6)*3))</f>
        <v>0,830**</v>
      </c>
      <c r="Z8" cm="1">
        <f t="array" aca="1" ref="Z8" ca="1">INDIRECT("V" &amp; (ROW(V6)*3+1))</f>
        <v>4.1069042867989039E-9</v>
      </c>
      <c r="AA8" t="str">
        <f t="shared" ca="1" si="0"/>
        <v>Valid</v>
      </c>
    </row>
    <row r="9" spans="1:33" ht="34.5" x14ac:dyDescent="0.35">
      <c r="A9" s="141" t="s">
        <v>38</v>
      </c>
      <c r="B9" s="68" t="s">
        <v>10</v>
      </c>
      <c r="C9" s="76" t="s">
        <v>140</v>
      </c>
      <c r="D9" s="78" t="s">
        <v>146</v>
      </c>
      <c r="E9" s="77">
        <v>1</v>
      </c>
      <c r="F9" s="78" t="s">
        <v>149</v>
      </c>
      <c r="G9" s="78" t="s">
        <v>150</v>
      </c>
      <c r="H9" s="78" t="s">
        <v>151</v>
      </c>
      <c r="I9" s="78" t="s">
        <v>152</v>
      </c>
      <c r="J9" s="70">
        <v>0.17369614156031138</v>
      </c>
      <c r="K9" s="70">
        <v>0.13041250625651252</v>
      </c>
      <c r="L9" s="78" t="s">
        <v>147</v>
      </c>
      <c r="M9" s="70">
        <v>0.12004127748646938</v>
      </c>
      <c r="N9" s="70">
        <v>0.25015696976867774</v>
      </c>
      <c r="O9" s="70">
        <v>0.197247946533229</v>
      </c>
      <c r="P9" s="78" t="s">
        <v>153</v>
      </c>
      <c r="Q9" s="70">
        <v>9.8507899622651954E-2</v>
      </c>
      <c r="R9" s="70">
        <v>-3.9491540879385403E-2</v>
      </c>
      <c r="S9" s="70">
        <v>1.472145175622349E-2</v>
      </c>
      <c r="T9" s="70">
        <v>7.3566755867331718E-2</v>
      </c>
      <c r="U9" s="70">
        <v>0.25087186470311085</v>
      </c>
      <c r="V9" s="79" t="s">
        <v>196</v>
      </c>
      <c r="W9" s="59"/>
      <c r="X9" t="str" cm="1">
        <f t="array" aca="1" ref="X9" ca="1">INDIRECT("A" &amp; (ROW(X7)*3))</f>
        <v>BO7</v>
      </c>
      <c r="Y9" t="str" cm="1">
        <f t="array" aca="1" ref="Y9" ca="1">INDIRECT("V" &amp; (ROW(X7)*3))</f>
        <v>0,848**</v>
      </c>
      <c r="Z9" cm="1">
        <f t="array" aca="1" ref="Z9" ca="1">INDIRECT("V" &amp; (ROW(V7)*3+1))</f>
        <v>9.2674778436768379E-10</v>
      </c>
      <c r="AA9" t="str">
        <f t="shared" ca="1" si="0"/>
        <v>Valid</v>
      </c>
    </row>
    <row r="10" spans="1:33" ht="23" x14ac:dyDescent="0.35">
      <c r="A10" s="142"/>
      <c r="B10" s="68" t="s">
        <v>11</v>
      </c>
      <c r="C10" s="80">
        <v>2.967133885550271E-3</v>
      </c>
      <c r="D10" s="70">
        <v>8.6896474764460743E-6</v>
      </c>
      <c r="E10" s="81"/>
      <c r="F10" s="70">
        <v>2.024486072063017E-5</v>
      </c>
      <c r="G10" s="70">
        <v>4.2608283256755773E-2</v>
      </c>
      <c r="H10" s="70">
        <v>2.546247371769373E-2</v>
      </c>
      <c r="I10" s="70">
        <v>1.5152603691256606E-2</v>
      </c>
      <c r="J10" s="70">
        <v>0.34173902910812415</v>
      </c>
      <c r="K10" s="70">
        <v>0.47682362091638231</v>
      </c>
      <c r="L10" s="70">
        <v>1.3972348424816457E-2</v>
      </c>
      <c r="M10" s="70">
        <v>0.51284641457477842</v>
      </c>
      <c r="N10" s="70">
        <v>0.16731865877556867</v>
      </c>
      <c r="O10" s="70">
        <v>0.27921495751437508</v>
      </c>
      <c r="P10" s="70">
        <v>4.3660053030347867E-2</v>
      </c>
      <c r="Q10" s="70">
        <v>0.59169466214911026</v>
      </c>
      <c r="R10" s="70">
        <v>0.83008441231241425</v>
      </c>
      <c r="S10" s="70">
        <v>0.93626268032189386</v>
      </c>
      <c r="T10" s="70">
        <v>0.68905176613787122</v>
      </c>
      <c r="U10" s="70">
        <v>0.16606824868784897</v>
      </c>
      <c r="V10" s="71">
        <v>1.1500942355665896E-2</v>
      </c>
      <c r="W10" s="59"/>
      <c r="X10" t="str" cm="1">
        <f t="array" aca="1" ref="X10" ca="1">INDIRECT("A" &amp; (ROW(X8)*3))</f>
        <v>BO8</v>
      </c>
      <c r="Y10" t="str" cm="1">
        <f t="array" aca="1" ref="Y10" ca="1">INDIRECT("V" &amp; (ROW(X8)*3))</f>
        <v>0,817**</v>
      </c>
      <c r="Z10" cm="1">
        <f t="array" aca="1" ref="Z10" ca="1">INDIRECT("V" &amp; (ROW(V8)*3+1))</f>
        <v>1.1804168353676187E-8</v>
      </c>
      <c r="AA10" t="str">
        <f t="shared" ca="1" si="0"/>
        <v>Valid</v>
      </c>
    </row>
    <row r="11" spans="1:33" x14ac:dyDescent="0.35">
      <c r="A11" s="141"/>
      <c r="B11" s="72" t="s">
        <v>12</v>
      </c>
      <c r="C11" s="73">
        <v>32</v>
      </c>
      <c r="D11" s="74">
        <v>32</v>
      </c>
      <c r="E11" s="74">
        <v>32</v>
      </c>
      <c r="F11" s="74">
        <v>32</v>
      </c>
      <c r="G11" s="74">
        <v>32</v>
      </c>
      <c r="H11" s="74">
        <v>32</v>
      </c>
      <c r="I11" s="74">
        <v>32</v>
      </c>
      <c r="J11" s="74">
        <v>32</v>
      </c>
      <c r="K11" s="74">
        <v>32</v>
      </c>
      <c r="L11" s="74">
        <v>32</v>
      </c>
      <c r="M11" s="74">
        <v>32</v>
      </c>
      <c r="N11" s="74">
        <v>32</v>
      </c>
      <c r="O11" s="74">
        <v>32</v>
      </c>
      <c r="P11" s="74">
        <v>32</v>
      </c>
      <c r="Q11" s="74">
        <v>32</v>
      </c>
      <c r="R11" s="74">
        <v>32</v>
      </c>
      <c r="S11" s="74">
        <v>32</v>
      </c>
      <c r="T11" s="74">
        <v>32</v>
      </c>
      <c r="U11" s="74">
        <v>32</v>
      </c>
      <c r="V11" s="75">
        <v>32</v>
      </c>
      <c r="W11" s="59"/>
      <c r="X11" t="str" cm="1">
        <f t="array" aca="1" ref="X11" ca="1">INDIRECT("A" &amp; (ROW(X9)*3))</f>
        <v>BO9</v>
      </c>
      <c r="Y11" t="str" cm="1">
        <f t="array" aca="1" ref="Y11" ca="1">INDIRECT("V" &amp; (ROW(X9)*3))</f>
        <v>0,742**</v>
      </c>
      <c r="Z11" cm="1">
        <f t="array" aca="1" ref="Z11" ca="1">INDIRECT("V" &amp; (ROW(V9)*3+1))</f>
        <v>1.1676842087963469E-6</v>
      </c>
      <c r="AA11" t="str">
        <f t="shared" ca="1" si="0"/>
        <v>Valid</v>
      </c>
    </row>
    <row r="12" spans="1:33" ht="34.5" x14ac:dyDescent="0.35">
      <c r="A12" s="141" t="s">
        <v>39</v>
      </c>
      <c r="B12" s="68" t="s">
        <v>10</v>
      </c>
      <c r="C12" s="76" t="s">
        <v>141</v>
      </c>
      <c r="D12" s="78" t="s">
        <v>108</v>
      </c>
      <c r="E12" s="78" t="s">
        <v>149</v>
      </c>
      <c r="F12" s="77">
        <v>1</v>
      </c>
      <c r="G12" s="78" t="s">
        <v>154</v>
      </c>
      <c r="H12" s="78" t="s">
        <v>155</v>
      </c>
      <c r="I12" s="78" t="s">
        <v>137</v>
      </c>
      <c r="J12" s="78" t="s">
        <v>156</v>
      </c>
      <c r="K12" s="78" t="s">
        <v>152</v>
      </c>
      <c r="L12" s="78" t="s">
        <v>95</v>
      </c>
      <c r="M12" s="78" t="s">
        <v>157</v>
      </c>
      <c r="N12" s="78" t="s">
        <v>158</v>
      </c>
      <c r="O12" s="70">
        <v>0.34664605542025084</v>
      </c>
      <c r="P12" s="70">
        <v>0.33450485996669865</v>
      </c>
      <c r="Q12" s="70">
        <v>0.20755965134081969</v>
      </c>
      <c r="R12" s="70">
        <v>0.2140841928746568</v>
      </c>
      <c r="S12" s="70">
        <v>0.16455788168766902</v>
      </c>
      <c r="T12" s="70">
        <v>0.26883519420636515</v>
      </c>
      <c r="U12" s="78" t="s">
        <v>215</v>
      </c>
      <c r="V12" s="79" t="s">
        <v>218</v>
      </c>
      <c r="W12" s="59"/>
      <c r="X12" t="str" cm="1">
        <f t="array" aca="1" ref="X12" ca="1">INDIRECT("A" &amp; (ROW(X10)*3))</f>
        <v>BO10</v>
      </c>
      <c r="Y12" t="str" cm="1">
        <f t="array" aca="1" ref="Y12" ca="1">INDIRECT("V" &amp; (ROW(X10)*3))</f>
        <v>0,778**</v>
      </c>
      <c r="Z12" cm="1">
        <f t="array" aca="1" ref="Z12" ca="1">INDIRECT("V" &amp; (ROW(V10)*3+1))</f>
        <v>1.571806921514865E-7</v>
      </c>
      <c r="AA12" t="str">
        <f t="shared" ca="1" si="0"/>
        <v>Valid</v>
      </c>
    </row>
    <row r="13" spans="1:33" ht="23" x14ac:dyDescent="0.35">
      <c r="A13" s="142"/>
      <c r="B13" s="68" t="s">
        <v>11</v>
      </c>
      <c r="C13" s="80">
        <v>1.519145135000275E-4</v>
      </c>
      <c r="D13" s="70">
        <v>1.4020944106080369E-3</v>
      </c>
      <c r="E13" s="70">
        <v>2.024486072063017E-5</v>
      </c>
      <c r="F13" s="81"/>
      <c r="G13" s="70">
        <v>2.2725336024229451E-3</v>
      </c>
      <c r="H13" s="70">
        <v>3.9554766249813534E-3</v>
      </c>
      <c r="I13" s="70">
        <v>7.3969245830344853E-3</v>
      </c>
      <c r="J13" s="70">
        <v>1.705546901581715E-2</v>
      </c>
      <c r="K13" s="70">
        <v>1.4953674985923451E-2</v>
      </c>
      <c r="L13" s="70">
        <v>7.2083685043647754E-3</v>
      </c>
      <c r="M13" s="70">
        <v>1.9166181122757139E-2</v>
      </c>
      <c r="N13" s="70">
        <v>4.3198648813164243E-2</v>
      </c>
      <c r="O13" s="70">
        <v>5.1937219684336774E-2</v>
      </c>
      <c r="P13" s="70">
        <v>6.1307153977410066E-2</v>
      </c>
      <c r="Q13" s="70">
        <v>0.25433287352019496</v>
      </c>
      <c r="R13" s="70">
        <v>0.23937013815613958</v>
      </c>
      <c r="S13" s="70">
        <v>0.36811960183278847</v>
      </c>
      <c r="T13" s="70">
        <v>0.13680301854060145</v>
      </c>
      <c r="U13" s="70">
        <v>4.6955657963764517E-2</v>
      </c>
      <c r="V13" s="71">
        <v>2.1101342240920567E-4</v>
      </c>
      <c r="W13" s="59"/>
      <c r="X13" t="str" cm="1">
        <f t="array" aca="1" ref="X13" ca="1">INDIRECT("A" &amp; (ROW(X11)*3))</f>
        <v>BO11</v>
      </c>
      <c r="Y13" t="str" cm="1">
        <f t="array" aca="1" ref="Y13" ca="1">INDIRECT("V" &amp; (ROW(X11)*3))</f>
        <v>0,649**</v>
      </c>
      <c r="Z13" cm="1">
        <f t="array" aca="1" ref="Z13" ca="1">INDIRECT("V" &amp; (ROW(V11)*3+1))</f>
        <v>5.9432711313697522E-5</v>
      </c>
      <c r="AA13" t="str">
        <f t="shared" ca="1" si="0"/>
        <v>Valid</v>
      </c>
    </row>
    <row r="14" spans="1:33" x14ac:dyDescent="0.35">
      <c r="A14" s="141"/>
      <c r="B14" s="72" t="s">
        <v>12</v>
      </c>
      <c r="C14" s="73">
        <v>32</v>
      </c>
      <c r="D14" s="74">
        <v>32</v>
      </c>
      <c r="E14" s="74">
        <v>32</v>
      </c>
      <c r="F14" s="74">
        <v>32</v>
      </c>
      <c r="G14" s="74">
        <v>32</v>
      </c>
      <c r="H14" s="74">
        <v>32</v>
      </c>
      <c r="I14" s="74">
        <v>32</v>
      </c>
      <c r="J14" s="74">
        <v>32</v>
      </c>
      <c r="K14" s="74">
        <v>32</v>
      </c>
      <c r="L14" s="74">
        <v>32</v>
      </c>
      <c r="M14" s="74">
        <v>32</v>
      </c>
      <c r="N14" s="74">
        <v>32</v>
      </c>
      <c r="O14" s="74">
        <v>32</v>
      </c>
      <c r="P14" s="74">
        <v>32</v>
      </c>
      <c r="Q14" s="74">
        <v>32</v>
      </c>
      <c r="R14" s="74">
        <v>32</v>
      </c>
      <c r="S14" s="74">
        <v>32</v>
      </c>
      <c r="T14" s="74">
        <v>32</v>
      </c>
      <c r="U14" s="74">
        <v>32</v>
      </c>
      <c r="V14" s="75">
        <v>32</v>
      </c>
      <c r="W14" s="59"/>
      <c r="X14" t="str" cm="1">
        <f t="array" aca="1" ref="X14" ca="1">INDIRECT("A" &amp; (ROW(X12)*3))</f>
        <v>BO12</v>
      </c>
      <c r="Y14" t="str" cm="1">
        <f t="array" aca="1" ref="Y14" ca="1">INDIRECT("V" &amp; (ROW(X12)*3))</f>
        <v>0,646**</v>
      </c>
      <c r="Z14" cm="1">
        <f t="array" aca="1" ref="Z14" ca="1">INDIRECT("V" &amp; (ROW(V12)*3+1))</f>
        <v>6.6010221130913127E-5</v>
      </c>
      <c r="AA14" t="str">
        <f t="shared" ca="1" si="0"/>
        <v>Valid</v>
      </c>
    </row>
    <row r="15" spans="1:33" ht="34.5" x14ac:dyDescent="0.35">
      <c r="A15" s="141" t="s">
        <v>40</v>
      </c>
      <c r="B15" s="68" t="s">
        <v>10</v>
      </c>
      <c r="C15" s="76" t="s">
        <v>142</v>
      </c>
      <c r="D15" s="70">
        <v>0.16502408076686031</v>
      </c>
      <c r="E15" s="78" t="s">
        <v>150</v>
      </c>
      <c r="F15" s="78" t="s">
        <v>154</v>
      </c>
      <c r="G15" s="77">
        <v>1</v>
      </c>
      <c r="H15" s="78" t="s">
        <v>159</v>
      </c>
      <c r="I15" s="78" t="s">
        <v>160</v>
      </c>
      <c r="J15" s="78" t="s">
        <v>149</v>
      </c>
      <c r="K15" s="78" t="s">
        <v>161</v>
      </c>
      <c r="L15" s="78" t="s">
        <v>162</v>
      </c>
      <c r="M15" s="70">
        <v>0.27399831217559545</v>
      </c>
      <c r="N15" s="70">
        <v>0.2869928922512856</v>
      </c>
      <c r="O15" s="78" t="s">
        <v>163</v>
      </c>
      <c r="P15" s="78" t="s">
        <v>164</v>
      </c>
      <c r="Q15" s="78" t="s">
        <v>165</v>
      </c>
      <c r="R15" s="78" t="s">
        <v>94</v>
      </c>
      <c r="S15" s="78" t="s">
        <v>166</v>
      </c>
      <c r="T15" s="78" t="s">
        <v>162</v>
      </c>
      <c r="U15" s="78" t="s">
        <v>141</v>
      </c>
      <c r="V15" s="79" t="s">
        <v>226</v>
      </c>
      <c r="W15" s="59"/>
      <c r="X15" t="str" cm="1">
        <f t="array" aca="1" ref="X15" ca="1">INDIRECT("A" &amp; (ROW(X13)*3))</f>
        <v>BO13</v>
      </c>
      <c r="Y15" t="str" cm="1">
        <f t="array" aca="1" ref="Y15" ca="1">INDIRECT("V" &amp; (ROW(X13)*3))</f>
        <v>0,694**</v>
      </c>
      <c r="Z15" cm="1">
        <f t="array" aca="1" ref="Z15" ca="1">INDIRECT("V" &amp; (ROW(V13)*3+1))</f>
        <v>1.0560624344252329E-5</v>
      </c>
      <c r="AA15" t="str">
        <f t="shared" ca="1" si="0"/>
        <v>Valid</v>
      </c>
    </row>
    <row r="16" spans="1:33" ht="23" x14ac:dyDescent="0.35">
      <c r="A16" s="142"/>
      <c r="B16" s="68" t="s">
        <v>11</v>
      </c>
      <c r="C16" s="80">
        <v>3.3914111254256356E-2</v>
      </c>
      <c r="D16" s="70">
        <v>0.36674537614505121</v>
      </c>
      <c r="E16" s="70">
        <v>4.2608283256755773E-2</v>
      </c>
      <c r="F16" s="70">
        <v>2.2725336024229451E-3</v>
      </c>
      <c r="G16" s="81"/>
      <c r="H16" s="70">
        <v>2.8110599192805318E-4</v>
      </c>
      <c r="I16" s="70">
        <v>1.3416127807889435E-4</v>
      </c>
      <c r="J16" s="70">
        <v>1.9802171077698497E-5</v>
      </c>
      <c r="K16" s="70">
        <v>1.1242776281744518E-3</v>
      </c>
      <c r="L16" s="70">
        <v>3.864891498085278E-3</v>
      </c>
      <c r="M16" s="70">
        <v>0.12913736125023265</v>
      </c>
      <c r="N16" s="70">
        <v>0.11125110777732637</v>
      </c>
      <c r="O16" s="70">
        <v>6.5503056102519106E-4</v>
      </c>
      <c r="P16" s="70">
        <v>9.53072677957614E-4</v>
      </c>
      <c r="Q16" s="70">
        <v>6.2972840977637383E-3</v>
      </c>
      <c r="R16" s="70">
        <v>1.3227324874962632E-2</v>
      </c>
      <c r="S16" s="70">
        <v>2.4205095527275364E-3</v>
      </c>
      <c r="T16" s="70">
        <v>3.864891498085278E-3</v>
      </c>
      <c r="U16" s="70">
        <v>1.5265704721241854E-4</v>
      </c>
      <c r="V16" s="71">
        <v>1.4958627697463325E-6</v>
      </c>
      <c r="W16" s="59"/>
      <c r="X16" t="str" cm="1">
        <f t="array" aca="1" ref="X16" ca="1">INDIRECT("A" &amp; (ROW(X14)*3))</f>
        <v>BO14</v>
      </c>
      <c r="Y16" t="str" cm="1">
        <f t="array" aca="1" ref="Y16" ca="1">INDIRECT("V" &amp; (ROW(X14)*3))</f>
        <v>0,682**</v>
      </c>
      <c r="Z16" cm="1">
        <f t="array" aca="1" ref="Z16" ca="1">INDIRECT("V" &amp; (ROW(V14)*3+1))</f>
        <v>1.7289517620471625E-5</v>
      </c>
      <c r="AA16" t="str">
        <f t="shared" ca="1" si="0"/>
        <v>Valid</v>
      </c>
    </row>
    <row r="17" spans="1:27" x14ac:dyDescent="0.35">
      <c r="A17" s="141"/>
      <c r="B17" s="72" t="s">
        <v>12</v>
      </c>
      <c r="C17" s="73">
        <v>32</v>
      </c>
      <c r="D17" s="74">
        <v>32</v>
      </c>
      <c r="E17" s="74">
        <v>32</v>
      </c>
      <c r="F17" s="74">
        <v>32</v>
      </c>
      <c r="G17" s="74">
        <v>32</v>
      </c>
      <c r="H17" s="74">
        <v>32</v>
      </c>
      <c r="I17" s="74">
        <v>32</v>
      </c>
      <c r="J17" s="74">
        <v>32</v>
      </c>
      <c r="K17" s="74">
        <v>32</v>
      </c>
      <c r="L17" s="74">
        <v>32</v>
      </c>
      <c r="M17" s="74">
        <v>32</v>
      </c>
      <c r="N17" s="74">
        <v>32</v>
      </c>
      <c r="O17" s="74">
        <v>32</v>
      </c>
      <c r="P17" s="74">
        <v>32</v>
      </c>
      <c r="Q17" s="74">
        <v>32</v>
      </c>
      <c r="R17" s="74">
        <v>32</v>
      </c>
      <c r="S17" s="74">
        <v>32</v>
      </c>
      <c r="T17" s="74">
        <v>32</v>
      </c>
      <c r="U17" s="74">
        <v>32</v>
      </c>
      <c r="V17" s="75">
        <v>32</v>
      </c>
      <c r="W17" s="59"/>
      <c r="X17" t="str" cm="1">
        <f t="array" aca="1" ref="X17" ca="1">INDIRECT("A" &amp; (ROW(X15)*3))</f>
        <v>BO15</v>
      </c>
      <c r="Y17" t="str" cm="1">
        <f t="array" aca="1" ref="Y17" ca="1">INDIRECT("V" &amp; (ROW(X15)*3))</f>
        <v>0,728**</v>
      </c>
      <c r="Z17" cm="1">
        <f t="array" aca="1" ref="Z17" ca="1">INDIRECT("V" &amp; (ROW(V15)*3+1))</f>
        <v>2.3051543259342047E-6</v>
      </c>
      <c r="AA17" t="str">
        <f t="shared" ca="1" si="0"/>
        <v>Valid</v>
      </c>
    </row>
    <row r="18" spans="1:27" ht="34.5" x14ac:dyDescent="0.35">
      <c r="A18" s="141" t="s">
        <v>41</v>
      </c>
      <c r="B18" s="68" t="s">
        <v>10</v>
      </c>
      <c r="C18" s="76" t="s">
        <v>143</v>
      </c>
      <c r="D18" s="78" t="s">
        <v>147</v>
      </c>
      <c r="E18" s="78" t="s">
        <v>151</v>
      </c>
      <c r="F18" s="78" t="s">
        <v>155</v>
      </c>
      <c r="G18" s="78" t="s">
        <v>159</v>
      </c>
      <c r="H18" s="77">
        <v>1</v>
      </c>
      <c r="I18" s="78" t="s">
        <v>115</v>
      </c>
      <c r="J18" s="78" t="s">
        <v>167</v>
      </c>
      <c r="K18" s="78" t="s">
        <v>168</v>
      </c>
      <c r="L18" s="78" t="s">
        <v>169</v>
      </c>
      <c r="M18" s="78" t="s">
        <v>170</v>
      </c>
      <c r="N18" s="78" t="s">
        <v>171</v>
      </c>
      <c r="O18" s="78" t="s">
        <v>172</v>
      </c>
      <c r="P18" s="78" t="s">
        <v>173</v>
      </c>
      <c r="Q18" s="78" t="s">
        <v>174</v>
      </c>
      <c r="R18" s="78" t="s">
        <v>175</v>
      </c>
      <c r="S18" s="78" t="s">
        <v>176</v>
      </c>
      <c r="T18" s="78" t="s">
        <v>209</v>
      </c>
      <c r="U18" s="78" t="s">
        <v>216</v>
      </c>
      <c r="V18" s="79" t="s">
        <v>227</v>
      </c>
      <c r="W18" s="59"/>
      <c r="X18" t="str" cm="1">
        <f t="array" aca="1" ref="X18" ca="1">INDIRECT("A" &amp; (ROW(X16)*3))</f>
        <v>BO16</v>
      </c>
      <c r="Y18" t="str" cm="1">
        <f t="array" aca="1" ref="Y18" ca="1">INDIRECT("V" &amp; (ROW(X16)*3))</f>
        <v>0,740**</v>
      </c>
      <c r="Z18" cm="1">
        <f t="array" aca="1" ref="Z18" ca="1">INDIRECT("V" &amp; (ROW(V16)*3+1))</f>
        <v>1.2709800737901547E-6</v>
      </c>
      <c r="AA18" t="str">
        <f t="shared" ca="1" si="0"/>
        <v>Valid</v>
      </c>
    </row>
    <row r="19" spans="1:27" ht="23" x14ac:dyDescent="0.35">
      <c r="A19" s="142"/>
      <c r="B19" s="68" t="s">
        <v>11</v>
      </c>
      <c r="C19" s="80">
        <v>7.8338025327461033E-3</v>
      </c>
      <c r="D19" s="70">
        <v>1.3965381936258058E-2</v>
      </c>
      <c r="E19" s="70">
        <v>2.546247371769373E-2</v>
      </c>
      <c r="F19" s="70">
        <v>3.9554766249813534E-3</v>
      </c>
      <c r="G19" s="70">
        <v>2.8110599192805318E-4</v>
      </c>
      <c r="H19" s="81"/>
      <c r="I19" s="70">
        <v>1.5152387696476627E-5</v>
      </c>
      <c r="J19" s="70">
        <v>1.4312138641780358E-6</v>
      </c>
      <c r="K19" s="70">
        <v>5.271185316719558E-5</v>
      </c>
      <c r="L19" s="70">
        <v>3.2319303192350096E-6</v>
      </c>
      <c r="M19" s="70">
        <v>1.1753422790460614E-3</v>
      </c>
      <c r="N19" s="70">
        <v>3.2229234210314086E-4</v>
      </c>
      <c r="O19" s="70">
        <v>1.1100465419977953E-3</v>
      </c>
      <c r="P19" s="70">
        <v>6.2749463611783064E-4</v>
      </c>
      <c r="Q19" s="70">
        <v>7.4874506197175799E-3</v>
      </c>
      <c r="R19" s="70">
        <v>4.4717528948927951E-3</v>
      </c>
      <c r="S19" s="70">
        <v>4.2006531028619697E-4</v>
      </c>
      <c r="T19" s="70">
        <v>1.5944648298893735E-2</v>
      </c>
      <c r="U19" s="70">
        <v>2.953619238805693E-2</v>
      </c>
      <c r="V19" s="71">
        <v>4.1069042867989039E-9</v>
      </c>
      <c r="W19" s="59"/>
      <c r="X19" t="str" cm="1">
        <f t="array" aca="1" ref="X19" ca="1">INDIRECT("A" &amp; (ROW(X17)*3))</f>
        <v>BO17</v>
      </c>
      <c r="Y19" t="str" cm="1">
        <f t="array" aca="1" ref="Y19" ca="1">INDIRECT("V" &amp; (ROW(X17)*3))</f>
        <v>0,738**</v>
      </c>
      <c r="Z19" cm="1">
        <f t="array" aca="1" ref="Z19" ca="1">INDIRECT("V" &amp; (ROW(V17)*3+1))</f>
        <v>1.4476326777621397E-6</v>
      </c>
      <c r="AA19" t="str">
        <f t="shared" ca="1" si="0"/>
        <v>Valid</v>
      </c>
    </row>
    <row r="20" spans="1:27" x14ac:dyDescent="0.35">
      <c r="A20" s="141"/>
      <c r="B20" s="72" t="s">
        <v>12</v>
      </c>
      <c r="C20" s="73">
        <v>32</v>
      </c>
      <c r="D20" s="74">
        <v>32</v>
      </c>
      <c r="E20" s="74">
        <v>32</v>
      </c>
      <c r="F20" s="74">
        <v>32</v>
      </c>
      <c r="G20" s="74">
        <v>32</v>
      </c>
      <c r="H20" s="74">
        <v>32</v>
      </c>
      <c r="I20" s="74">
        <v>32</v>
      </c>
      <c r="J20" s="74">
        <v>32</v>
      </c>
      <c r="K20" s="74">
        <v>32</v>
      </c>
      <c r="L20" s="74">
        <v>32</v>
      </c>
      <c r="M20" s="74">
        <v>32</v>
      </c>
      <c r="N20" s="74">
        <v>32</v>
      </c>
      <c r="O20" s="74">
        <v>32</v>
      </c>
      <c r="P20" s="74">
        <v>32</v>
      </c>
      <c r="Q20" s="74">
        <v>32</v>
      </c>
      <c r="R20" s="74">
        <v>32</v>
      </c>
      <c r="S20" s="74">
        <v>32</v>
      </c>
      <c r="T20" s="74">
        <v>32</v>
      </c>
      <c r="U20" s="74">
        <v>32</v>
      </c>
      <c r="V20" s="75">
        <v>32</v>
      </c>
      <c r="W20" s="59"/>
      <c r="X20" t="str" cm="1">
        <f t="array" aca="1" ref="X20" ca="1">INDIRECT("A" &amp; (ROW(X18)*3))</f>
        <v>BO18</v>
      </c>
      <c r="Y20" t="str" cm="1">
        <f t="array" aca="1" ref="Y20" ca="1">INDIRECT("V" &amp; (ROW(X18)*3))</f>
        <v>0,674**</v>
      </c>
      <c r="Z20" cm="1">
        <f t="array" aca="1" ref="Z20" ca="1">INDIRECT("V" &amp; (ROW(V18)*3+1))</f>
        <v>2.3641011744108889E-5</v>
      </c>
      <c r="AA20" t="str">
        <f t="shared" ca="1" si="0"/>
        <v>Valid</v>
      </c>
    </row>
    <row r="21" spans="1:27" ht="34.5" x14ac:dyDescent="0.35">
      <c r="A21" s="141" t="s">
        <v>42</v>
      </c>
      <c r="B21" s="68" t="s">
        <v>10</v>
      </c>
      <c r="C21" s="76" t="s">
        <v>144</v>
      </c>
      <c r="D21" s="78" t="s">
        <v>148</v>
      </c>
      <c r="E21" s="78" t="s">
        <v>152</v>
      </c>
      <c r="F21" s="78" t="s">
        <v>137</v>
      </c>
      <c r="G21" s="78" t="s">
        <v>160</v>
      </c>
      <c r="H21" s="78" t="s">
        <v>115</v>
      </c>
      <c r="I21" s="77">
        <v>1</v>
      </c>
      <c r="J21" s="78" t="s">
        <v>177</v>
      </c>
      <c r="K21" s="78" t="s">
        <v>178</v>
      </c>
      <c r="L21" s="78" t="s">
        <v>179</v>
      </c>
      <c r="M21" s="78" t="s">
        <v>180</v>
      </c>
      <c r="N21" s="78" t="s">
        <v>161</v>
      </c>
      <c r="O21" s="78" t="s">
        <v>181</v>
      </c>
      <c r="P21" s="78" t="s">
        <v>182</v>
      </c>
      <c r="Q21" s="78" t="s">
        <v>182</v>
      </c>
      <c r="R21" s="78" t="s">
        <v>103</v>
      </c>
      <c r="S21" s="78" t="s">
        <v>159</v>
      </c>
      <c r="T21" s="78" t="s">
        <v>210</v>
      </c>
      <c r="U21" s="78" t="s">
        <v>217</v>
      </c>
      <c r="V21" s="79" t="s">
        <v>228</v>
      </c>
      <c r="W21" s="59"/>
      <c r="X21" t="str" cm="1">
        <f t="array" aca="1" ref="X21" ca="1">INDIRECT("A" &amp; (ROW(X19)*3))</f>
        <v>BO19</v>
      </c>
      <c r="Y21" t="str" cm="1">
        <f t="array" aca="1" ref="Y21" ca="1">INDIRECT("V" &amp; (ROW(X19)*3))</f>
        <v>0,745**</v>
      </c>
      <c r="Z21" cm="1">
        <f t="array" aca="1" ref="Z21" ca="1">INDIRECT("V" &amp; (ROW(V19)*3+1))</f>
        <v>1.0085766848597119E-6</v>
      </c>
      <c r="AA21" t="str">
        <f t="shared" ca="1" si="0"/>
        <v>Valid</v>
      </c>
    </row>
    <row r="22" spans="1:27" ht="23" x14ac:dyDescent="0.35">
      <c r="A22" s="142"/>
      <c r="B22" s="68" t="s">
        <v>11</v>
      </c>
      <c r="C22" s="80">
        <v>2.2059328469177211E-2</v>
      </c>
      <c r="D22" s="70">
        <v>4.4992240539427811E-2</v>
      </c>
      <c r="E22" s="70">
        <v>1.5152603691256606E-2</v>
      </c>
      <c r="F22" s="70">
        <v>7.3969245830344853E-3</v>
      </c>
      <c r="G22" s="70">
        <v>1.3416127807889435E-4</v>
      </c>
      <c r="H22" s="70">
        <v>1.5152387696476627E-5</v>
      </c>
      <c r="I22" s="81"/>
      <c r="J22" s="70">
        <v>5.6638242157744151E-4</v>
      </c>
      <c r="K22" s="70">
        <v>8.9470852365130897E-4</v>
      </c>
      <c r="L22" s="70">
        <v>7.3119529943093085E-6</v>
      </c>
      <c r="M22" s="70">
        <v>1.3577236011101196E-2</v>
      </c>
      <c r="N22" s="70">
        <v>1.1525393143456666E-3</v>
      </c>
      <c r="O22" s="70">
        <v>2.6261136739175821E-3</v>
      </c>
      <c r="P22" s="70">
        <v>4.9037885302728145E-5</v>
      </c>
      <c r="Q22" s="70">
        <v>4.8784396754672958E-5</v>
      </c>
      <c r="R22" s="70">
        <v>4.9106099626727634E-4</v>
      </c>
      <c r="S22" s="70">
        <v>2.8512654976843175E-4</v>
      </c>
      <c r="T22" s="70">
        <v>2.414221061597539E-4</v>
      </c>
      <c r="U22" s="70">
        <v>4.0917971759271032E-4</v>
      </c>
      <c r="V22" s="71">
        <v>9.2674778436768379E-10</v>
      </c>
      <c r="W22" s="59"/>
    </row>
    <row r="23" spans="1:27" x14ac:dyDescent="0.35">
      <c r="A23" s="141"/>
      <c r="B23" s="72" t="s">
        <v>12</v>
      </c>
      <c r="C23" s="73">
        <v>32</v>
      </c>
      <c r="D23" s="74">
        <v>32</v>
      </c>
      <c r="E23" s="74">
        <v>32</v>
      </c>
      <c r="F23" s="74">
        <v>32</v>
      </c>
      <c r="G23" s="74">
        <v>32</v>
      </c>
      <c r="H23" s="74">
        <v>32</v>
      </c>
      <c r="I23" s="74">
        <v>32</v>
      </c>
      <c r="J23" s="74">
        <v>32</v>
      </c>
      <c r="K23" s="74">
        <v>32</v>
      </c>
      <c r="L23" s="74">
        <v>32</v>
      </c>
      <c r="M23" s="74">
        <v>32</v>
      </c>
      <c r="N23" s="74">
        <v>32</v>
      </c>
      <c r="O23" s="74">
        <v>32</v>
      </c>
      <c r="P23" s="74">
        <v>32</v>
      </c>
      <c r="Q23" s="74">
        <v>32</v>
      </c>
      <c r="R23" s="74">
        <v>32</v>
      </c>
      <c r="S23" s="74">
        <v>32</v>
      </c>
      <c r="T23" s="74">
        <v>32</v>
      </c>
      <c r="U23" s="74">
        <v>32</v>
      </c>
      <c r="V23" s="75">
        <v>32</v>
      </c>
      <c r="W23" s="59"/>
    </row>
    <row r="24" spans="1:27" ht="34.5" x14ac:dyDescent="0.35">
      <c r="A24" s="141" t="s">
        <v>43</v>
      </c>
      <c r="B24" s="68" t="s">
        <v>10</v>
      </c>
      <c r="C24" s="80">
        <v>0.27373457910261312</v>
      </c>
      <c r="D24" s="70">
        <v>0.18744806778279025</v>
      </c>
      <c r="E24" s="70">
        <v>0.17369614156031138</v>
      </c>
      <c r="F24" s="78" t="s">
        <v>156</v>
      </c>
      <c r="G24" s="78" t="s">
        <v>149</v>
      </c>
      <c r="H24" s="78" t="s">
        <v>167</v>
      </c>
      <c r="I24" s="78" t="s">
        <v>177</v>
      </c>
      <c r="J24" s="77">
        <v>1</v>
      </c>
      <c r="K24" s="78" t="s">
        <v>183</v>
      </c>
      <c r="L24" s="78" t="s">
        <v>184</v>
      </c>
      <c r="M24" s="78" t="s">
        <v>185</v>
      </c>
      <c r="N24" s="78" t="s">
        <v>186</v>
      </c>
      <c r="O24" s="78" t="s">
        <v>167</v>
      </c>
      <c r="P24" s="78" t="s">
        <v>187</v>
      </c>
      <c r="Q24" s="78" t="s">
        <v>188</v>
      </c>
      <c r="R24" s="78" t="s">
        <v>120</v>
      </c>
      <c r="S24" s="78" t="s">
        <v>189</v>
      </c>
      <c r="T24" s="78" t="s">
        <v>211</v>
      </c>
      <c r="U24" s="78" t="s">
        <v>218</v>
      </c>
      <c r="V24" s="79" t="s">
        <v>229</v>
      </c>
      <c r="W24" s="59"/>
    </row>
    <row r="25" spans="1:27" ht="23" x14ac:dyDescent="0.35">
      <c r="A25" s="142"/>
      <c r="B25" s="68" t="s">
        <v>11</v>
      </c>
      <c r="C25" s="80">
        <v>0.12952107956722603</v>
      </c>
      <c r="D25" s="70">
        <v>0.30426941885157816</v>
      </c>
      <c r="E25" s="70">
        <v>0.34173902910812415</v>
      </c>
      <c r="F25" s="70">
        <v>1.705546901581715E-2</v>
      </c>
      <c r="G25" s="70">
        <v>1.9802171077698497E-5</v>
      </c>
      <c r="H25" s="70">
        <v>1.4312138641780358E-6</v>
      </c>
      <c r="I25" s="70">
        <v>5.6638242157744151E-4</v>
      </c>
      <c r="J25" s="81"/>
      <c r="K25" s="70">
        <v>1.685213501143649E-5</v>
      </c>
      <c r="L25" s="70">
        <v>1.8800961889290659E-4</v>
      </c>
      <c r="M25" s="70">
        <v>1.6700240383614683E-3</v>
      </c>
      <c r="N25" s="70">
        <v>1.3455334979905573E-3</v>
      </c>
      <c r="O25" s="70">
        <v>1.4312138641780358E-6</v>
      </c>
      <c r="P25" s="70">
        <v>2.1895352756201398E-3</v>
      </c>
      <c r="Q25" s="70">
        <v>1.6076335184699647E-3</v>
      </c>
      <c r="R25" s="70">
        <v>1.0267772335450795E-3</v>
      </c>
      <c r="S25" s="70">
        <v>1.0125230649804344E-4</v>
      </c>
      <c r="T25" s="70">
        <v>5.8953528439313202E-3</v>
      </c>
      <c r="U25" s="70">
        <v>2.1121814789935294E-4</v>
      </c>
      <c r="V25" s="71">
        <v>1.1804168353676187E-8</v>
      </c>
      <c r="W25" s="59"/>
    </row>
    <row r="26" spans="1:27" x14ac:dyDescent="0.35">
      <c r="A26" s="141"/>
      <c r="B26" s="72" t="s">
        <v>12</v>
      </c>
      <c r="C26" s="73">
        <v>32</v>
      </c>
      <c r="D26" s="74">
        <v>32</v>
      </c>
      <c r="E26" s="74">
        <v>32</v>
      </c>
      <c r="F26" s="74">
        <v>32</v>
      </c>
      <c r="G26" s="74">
        <v>32</v>
      </c>
      <c r="H26" s="74">
        <v>32</v>
      </c>
      <c r="I26" s="74">
        <v>32</v>
      </c>
      <c r="J26" s="74">
        <v>32</v>
      </c>
      <c r="K26" s="74">
        <v>32</v>
      </c>
      <c r="L26" s="74">
        <v>32</v>
      </c>
      <c r="M26" s="74">
        <v>32</v>
      </c>
      <c r="N26" s="74">
        <v>32</v>
      </c>
      <c r="O26" s="74">
        <v>32</v>
      </c>
      <c r="P26" s="74">
        <v>32</v>
      </c>
      <c r="Q26" s="74">
        <v>32</v>
      </c>
      <c r="R26" s="74">
        <v>32</v>
      </c>
      <c r="S26" s="74">
        <v>32</v>
      </c>
      <c r="T26" s="74">
        <v>32</v>
      </c>
      <c r="U26" s="74">
        <v>32</v>
      </c>
      <c r="V26" s="75">
        <v>32</v>
      </c>
      <c r="W26" s="59"/>
    </row>
    <row r="27" spans="1:27" ht="34.5" x14ac:dyDescent="0.35">
      <c r="A27" s="141" t="s">
        <v>44</v>
      </c>
      <c r="B27" s="68" t="s">
        <v>10</v>
      </c>
      <c r="C27" s="80">
        <v>0.28111656741218982</v>
      </c>
      <c r="D27" s="70">
        <v>0.14987266233254515</v>
      </c>
      <c r="E27" s="70">
        <v>0.13041250625651252</v>
      </c>
      <c r="F27" s="78" t="s">
        <v>152</v>
      </c>
      <c r="G27" s="78" t="s">
        <v>161</v>
      </c>
      <c r="H27" s="78" t="s">
        <v>168</v>
      </c>
      <c r="I27" s="78" t="s">
        <v>178</v>
      </c>
      <c r="J27" s="78" t="s">
        <v>183</v>
      </c>
      <c r="K27" s="77">
        <v>1</v>
      </c>
      <c r="L27" s="78" t="s">
        <v>183</v>
      </c>
      <c r="M27" s="78" t="s">
        <v>190</v>
      </c>
      <c r="N27" s="78" t="s">
        <v>191</v>
      </c>
      <c r="O27" s="78" t="s">
        <v>152</v>
      </c>
      <c r="P27" s="70">
        <v>0.28372048255267307</v>
      </c>
      <c r="Q27" s="78" t="s">
        <v>77</v>
      </c>
      <c r="R27" s="78" t="s">
        <v>192</v>
      </c>
      <c r="S27" s="78" t="s">
        <v>164</v>
      </c>
      <c r="T27" s="78" t="s">
        <v>199</v>
      </c>
      <c r="U27" s="78" t="s">
        <v>219</v>
      </c>
      <c r="V27" s="79" t="s">
        <v>99</v>
      </c>
      <c r="W27" s="59"/>
    </row>
    <row r="28" spans="1:27" ht="23" x14ac:dyDescent="0.35">
      <c r="A28" s="142"/>
      <c r="B28" s="68" t="s">
        <v>11</v>
      </c>
      <c r="C28" s="80">
        <v>0.11909441918454207</v>
      </c>
      <c r="D28" s="70">
        <v>0.41294827133369694</v>
      </c>
      <c r="E28" s="70">
        <v>0.47682362091638231</v>
      </c>
      <c r="F28" s="70">
        <v>1.4953674985923451E-2</v>
      </c>
      <c r="G28" s="70">
        <v>1.1242776281744518E-3</v>
      </c>
      <c r="H28" s="70">
        <v>5.271185316719558E-5</v>
      </c>
      <c r="I28" s="70">
        <v>8.9470852365130897E-4</v>
      </c>
      <c r="J28" s="70">
        <v>1.685213501143649E-5</v>
      </c>
      <c r="K28" s="81"/>
      <c r="L28" s="70">
        <v>1.665491888373678E-5</v>
      </c>
      <c r="M28" s="70">
        <v>3.1176741916580999E-2</v>
      </c>
      <c r="N28" s="70">
        <v>7.0344919277097655E-6</v>
      </c>
      <c r="O28" s="70">
        <v>1.4967850059904317E-2</v>
      </c>
      <c r="P28" s="70">
        <v>0.11556967369270482</v>
      </c>
      <c r="Q28" s="70">
        <v>1.2211418081121686E-2</v>
      </c>
      <c r="R28" s="70">
        <v>2.8481600190189378E-5</v>
      </c>
      <c r="S28" s="70">
        <v>9.5547358671914666E-4</v>
      </c>
      <c r="T28" s="70">
        <v>5.0812821610416621E-3</v>
      </c>
      <c r="U28" s="70">
        <v>2.7515220511025208E-3</v>
      </c>
      <c r="V28" s="71">
        <v>1.1676842087963469E-6</v>
      </c>
      <c r="W28" s="59"/>
    </row>
    <row r="29" spans="1:27" x14ac:dyDescent="0.35">
      <c r="A29" s="141"/>
      <c r="B29" s="72" t="s">
        <v>12</v>
      </c>
      <c r="C29" s="73">
        <v>32</v>
      </c>
      <c r="D29" s="74">
        <v>32</v>
      </c>
      <c r="E29" s="74">
        <v>32</v>
      </c>
      <c r="F29" s="74">
        <v>32</v>
      </c>
      <c r="G29" s="74">
        <v>32</v>
      </c>
      <c r="H29" s="74">
        <v>32</v>
      </c>
      <c r="I29" s="74">
        <v>32</v>
      </c>
      <c r="J29" s="74">
        <v>32</v>
      </c>
      <c r="K29" s="74">
        <v>32</v>
      </c>
      <c r="L29" s="74">
        <v>32</v>
      </c>
      <c r="M29" s="74">
        <v>32</v>
      </c>
      <c r="N29" s="74">
        <v>32</v>
      </c>
      <c r="O29" s="74">
        <v>32</v>
      </c>
      <c r="P29" s="74">
        <v>32</v>
      </c>
      <c r="Q29" s="74">
        <v>32</v>
      </c>
      <c r="R29" s="74">
        <v>32</v>
      </c>
      <c r="S29" s="74">
        <v>32</v>
      </c>
      <c r="T29" s="74">
        <v>32</v>
      </c>
      <c r="U29" s="74">
        <v>32</v>
      </c>
      <c r="V29" s="75">
        <v>32</v>
      </c>
      <c r="W29" s="59"/>
    </row>
    <row r="30" spans="1:27" ht="34.5" x14ac:dyDescent="0.35">
      <c r="A30" s="141" t="s">
        <v>45</v>
      </c>
      <c r="B30" s="68" t="s">
        <v>10</v>
      </c>
      <c r="C30" s="76" t="s">
        <v>145</v>
      </c>
      <c r="D30" s="78" t="s">
        <v>88</v>
      </c>
      <c r="E30" s="78" t="s">
        <v>147</v>
      </c>
      <c r="F30" s="78" t="s">
        <v>95</v>
      </c>
      <c r="G30" s="78" t="s">
        <v>162</v>
      </c>
      <c r="H30" s="78" t="s">
        <v>169</v>
      </c>
      <c r="I30" s="78" t="s">
        <v>179</v>
      </c>
      <c r="J30" s="78" t="s">
        <v>184</v>
      </c>
      <c r="K30" s="78" t="s">
        <v>183</v>
      </c>
      <c r="L30" s="77">
        <v>1</v>
      </c>
      <c r="M30" s="78" t="s">
        <v>143</v>
      </c>
      <c r="N30" s="78" t="s">
        <v>193</v>
      </c>
      <c r="O30" s="78" t="s">
        <v>194</v>
      </c>
      <c r="P30" s="78" t="s">
        <v>195</v>
      </c>
      <c r="Q30" s="70">
        <v>0.33237680928795865</v>
      </c>
      <c r="R30" s="78" t="s">
        <v>196</v>
      </c>
      <c r="S30" s="78" t="s">
        <v>197</v>
      </c>
      <c r="T30" s="70">
        <v>0.30757341576506952</v>
      </c>
      <c r="U30" s="78" t="s">
        <v>220</v>
      </c>
      <c r="V30" s="79" t="s">
        <v>230</v>
      </c>
      <c r="W30" s="59"/>
    </row>
    <row r="31" spans="1:27" ht="23" x14ac:dyDescent="0.35">
      <c r="A31" s="142"/>
      <c r="B31" s="68" t="s">
        <v>11</v>
      </c>
      <c r="C31" s="80">
        <v>1.2964086959141025E-2</v>
      </c>
      <c r="D31" s="70">
        <v>1.1149119105274385E-2</v>
      </c>
      <c r="E31" s="70">
        <v>1.3972348424816457E-2</v>
      </c>
      <c r="F31" s="70">
        <v>7.2083685043647754E-3</v>
      </c>
      <c r="G31" s="70">
        <v>3.864891498085278E-3</v>
      </c>
      <c r="H31" s="70">
        <v>3.2319303192350096E-6</v>
      </c>
      <c r="I31" s="70">
        <v>7.3119529943093085E-6</v>
      </c>
      <c r="J31" s="70">
        <v>1.8800961889290659E-4</v>
      </c>
      <c r="K31" s="70">
        <v>1.665491888373678E-5</v>
      </c>
      <c r="L31" s="81"/>
      <c r="M31" s="70">
        <v>7.8399695316940729E-3</v>
      </c>
      <c r="N31" s="70">
        <v>3.743164982883209E-4</v>
      </c>
      <c r="O31" s="70">
        <v>2.8827273134399067E-3</v>
      </c>
      <c r="P31" s="70">
        <v>2.0961592797926351E-2</v>
      </c>
      <c r="Q31" s="70">
        <v>6.3078259305024226E-2</v>
      </c>
      <c r="R31" s="70">
        <v>1.1497916159551787E-2</v>
      </c>
      <c r="S31" s="70">
        <v>1.4923439482217352E-3</v>
      </c>
      <c r="T31" s="70">
        <v>8.6810710374140385E-2</v>
      </c>
      <c r="U31" s="70">
        <v>1.0104544047189097E-3</v>
      </c>
      <c r="V31" s="71">
        <v>1.571806921514865E-7</v>
      </c>
      <c r="W31" s="59"/>
    </row>
    <row r="32" spans="1:27" x14ac:dyDescent="0.35">
      <c r="A32" s="141"/>
      <c r="B32" s="72" t="s">
        <v>12</v>
      </c>
      <c r="C32" s="73">
        <v>32</v>
      </c>
      <c r="D32" s="74">
        <v>32</v>
      </c>
      <c r="E32" s="74">
        <v>32</v>
      </c>
      <c r="F32" s="74">
        <v>32</v>
      </c>
      <c r="G32" s="74">
        <v>32</v>
      </c>
      <c r="H32" s="74">
        <v>32</v>
      </c>
      <c r="I32" s="74">
        <v>32</v>
      </c>
      <c r="J32" s="74">
        <v>32</v>
      </c>
      <c r="K32" s="74">
        <v>32</v>
      </c>
      <c r="L32" s="74">
        <v>32</v>
      </c>
      <c r="M32" s="74">
        <v>32</v>
      </c>
      <c r="N32" s="74">
        <v>32</v>
      </c>
      <c r="O32" s="74">
        <v>32</v>
      </c>
      <c r="P32" s="74">
        <v>32</v>
      </c>
      <c r="Q32" s="74">
        <v>32</v>
      </c>
      <c r="R32" s="74">
        <v>32</v>
      </c>
      <c r="S32" s="74">
        <v>32</v>
      </c>
      <c r="T32" s="74">
        <v>32</v>
      </c>
      <c r="U32" s="74">
        <v>32</v>
      </c>
      <c r="V32" s="75">
        <v>32</v>
      </c>
      <c r="W32" s="59"/>
    </row>
    <row r="33" spans="1:23" ht="34.5" x14ac:dyDescent="0.35">
      <c r="A33" s="141" t="s">
        <v>46</v>
      </c>
      <c r="B33" s="68" t="s">
        <v>10</v>
      </c>
      <c r="C33" s="80">
        <v>0.20064308847628201</v>
      </c>
      <c r="D33" s="70">
        <v>0.10183501544346311</v>
      </c>
      <c r="E33" s="70">
        <v>0.12004127748646938</v>
      </c>
      <c r="F33" s="78" t="s">
        <v>157</v>
      </c>
      <c r="G33" s="70">
        <v>0.27399831217559545</v>
      </c>
      <c r="H33" s="78" t="s">
        <v>170</v>
      </c>
      <c r="I33" s="78" t="s">
        <v>180</v>
      </c>
      <c r="J33" s="78" t="s">
        <v>185</v>
      </c>
      <c r="K33" s="78" t="s">
        <v>190</v>
      </c>
      <c r="L33" s="78" t="s">
        <v>143</v>
      </c>
      <c r="M33" s="77">
        <v>1</v>
      </c>
      <c r="N33" s="78" t="s">
        <v>122</v>
      </c>
      <c r="O33" s="78" t="s">
        <v>90</v>
      </c>
      <c r="P33" s="78" t="s">
        <v>198</v>
      </c>
      <c r="Q33" s="78" t="s">
        <v>199</v>
      </c>
      <c r="R33" s="78" t="s">
        <v>200</v>
      </c>
      <c r="S33" s="78" t="s">
        <v>201</v>
      </c>
      <c r="T33" s="78" t="s">
        <v>143</v>
      </c>
      <c r="U33" s="78" t="s">
        <v>221</v>
      </c>
      <c r="V33" s="79" t="s">
        <v>231</v>
      </c>
      <c r="W33" s="59"/>
    </row>
    <row r="34" spans="1:23" ht="23" x14ac:dyDescent="0.35">
      <c r="A34" s="142"/>
      <c r="B34" s="68" t="s">
        <v>11</v>
      </c>
      <c r="C34" s="80">
        <v>0.27085504651240527</v>
      </c>
      <c r="D34" s="70">
        <v>0.57917398197997094</v>
      </c>
      <c r="E34" s="70">
        <v>0.51284641457477842</v>
      </c>
      <c r="F34" s="70">
        <v>1.9166181122757139E-2</v>
      </c>
      <c r="G34" s="70">
        <v>0.12913736125023265</v>
      </c>
      <c r="H34" s="70">
        <v>1.1753422790460614E-3</v>
      </c>
      <c r="I34" s="70">
        <v>1.3577236011101196E-2</v>
      </c>
      <c r="J34" s="70">
        <v>1.6700240383614683E-3</v>
      </c>
      <c r="K34" s="70">
        <v>3.1176741916580999E-2</v>
      </c>
      <c r="L34" s="70">
        <v>7.8399695316940729E-3</v>
      </c>
      <c r="M34" s="81"/>
      <c r="N34" s="70">
        <v>1.4216192845309351E-2</v>
      </c>
      <c r="O34" s="70">
        <v>4.7158908358609763E-3</v>
      </c>
      <c r="P34" s="70">
        <v>2.2933642272855593E-2</v>
      </c>
      <c r="Q34" s="70">
        <v>5.1175693705939407E-3</v>
      </c>
      <c r="R34" s="70">
        <v>2.2208560375617768E-3</v>
      </c>
      <c r="S34" s="70">
        <v>6.1851093143623293E-6</v>
      </c>
      <c r="T34" s="70">
        <v>7.8399695316940729E-3</v>
      </c>
      <c r="U34" s="70">
        <v>1.0660964543396951E-2</v>
      </c>
      <c r="V34" s="71">
        <v>5.9432711313697522E-5</v>
      </c>
      <c r="W34" s="59"/>
    </row>
    <row r="35" spans="1:23" x14ac:dyDescent="0.35">
      <c r="A35" s="141"/>
      <c r="B35" s="72" t="s">
        <v>12</v>
      </c>
      <c r="C35" s="73">
        <v>32</v>
      </c>
      <c r="D35" s="74">
        <v>32</v>
      </c>
      <c r="E35" s="74">
        <v>32</v>
      </c>
      <c r="F35" s="74">
        <v>32</v>
      </c>
      <c r="G35" s="74">
        <v>32</v>
      </c>
      <c r="H35" s="74">
        <v>32</v>
      </c>
      <c r="I35" s="74">
        <v>32</v>
      </c>
      <c r="J35" s="74">
        <v>32</v>
      </c>
      <c r="K35" s="74">
        <v>32</v>
      </c>
      <c r="L35" s="74">
        <v>32</v>
      </c>
      <c r="M35" s="74">
        <v>32</v>
      </c>
      <c r="N35" s="74">
        <v>32</v>
      </c>
      <c r="O35" s="74">
        <v>32</v>
      </c>
      <c r="P35" s="74">
        <v>32</v>
      </c>
      <c r="Q35" s="74">
        <v>32</v>
      </c>
      <c r="R35" s="74">
        <v>32</v>
      </c>
      <c r="S35" s="74">
        <v>32</v>
      </c>
      <c r="T35" s="74">
        <v>32</v>
      </c>
      <c r="U35" s="74">
        <v>32</v>
      </c>
      <c r="V35" s="75">
        <v>32</v>
      </c>
      <c r="W35" s="59"/>
    </row>
    <row r="36" spans="1:23" ht="34.5" x14ac:dyDescent="0.35">
      <c r="A36" s="141" t="s">
        <v>47</v>
      </c>
      <c r="B36" s="68" t="s">
        <v>10</v>
      </c>
      <c r="C36" s="80">
        <v>0.2997345975546763</v>
      </c>
      <c r="D36" s="70">
        <v>0.28851905178556797</v>
      </c>
      <c r="E36" s="70">
        <v>0.25015696976867774</v>
      </c>
      <c r="F36" s="78" t="s">
        <v>158</v>
      </c>
      <c r="G36" s="70">
        <v>0.2869928922512856</v>
      </c>
      <c r="H36" s="78" t="s">
        <v>171</v>
      </c>
      <c r="I36" s="78" t="s">
        <v>161</v>
      </c>
      <c r="J36" s="78" t="s">
        <v>186</v>
      </c>
      <c r="K36" s="78" t="s">
        <v>191</v>
      </c>
      <c r="L36" s="78" t="s">
        <v>193</v>
      </c>
      <c r="M36" s="78" t="s">
        <v>122</v>
      </c>
      <c r="N36" s="77">
        <v>1</v>
      </c>
      <c r="O36" s="78" t="s">
        <v>131</v>
      </c>
      <c r="P36" s="78" t="s">
        <v>95</v>
      </c>
      <c r="Q36" s="78" t="s">
        <v>202</v>
      </c>
      <c r="R36" s="78" t="s">
        <v>174</v>
      </c>
      <c r="S36" s="70">
        <v>0.25185823591438894</v>
      </c>
      <c r="T36" s="70">
        <v>0.27866773810129214</v>
      </c>
      <c r="U36" s="70">
        <v>0.26356014967224078</v>
      </c>
      <c r="V36" s="79" t="s">
        <v>232</v>
      </c>
      <c r="W36" s="59"/>
    </row>
    <row r="37" spans="1:23" ht="23" x14ac:dyDescent="0.35">
      <c r="A37" s="142"/>
      <c r="B37" s="68" t="s">
        <v>11</v>
      </c>
      <c r="C37" s="80">
        <v>9.5580982003756698E-2</v>
      </c>
      <c r="D37" s="70">
        <v>0.10927887872432336</v>
      </c>
      <c r="E37" s="70">
        <v>0.16731865877556867</v>
      </c>
      <c r="F37" s="70">
        <v>4.3198648813164243E-2</v>
      </c>
      <c r="G37" s="70">
        <v>0.11125110777732637</v>
      </c>
      <c r="H37" s="70">
        <v>3.2229234210314086E-4</v>
      </c>
      <c r="I37" s="70">
        <v>1.1525393143456666E-3</v>
      </c>
      <c r="J37" s="70">
        <v>1.3455334979905573E-3</v>
      </c>
      <c r="K37" s="70">
        <v>7.0344919277097655E-6</v>
      </c>
      <c r="L37" s="70">
        <v>3.743164982883209E-4</v>
      </c>
      <c r="M37" s="70">
        <v>1.4216192845309351E-2</v>
      </c>
      <c r="N37" s="81"/>
      <c r="O37" s="70">
        <v>8.955953252015713E-3</v>
      </c>
      <c r="P37" s="70">
        <v>7.2223201619703806E-3</v>
      </c>
      <c r="Q37" s="70">
        <v>3.5423193116533913E-2</v>
      </c>
      <c r="R37" s="70">
        <v>7.4551911209344559E-3</v>
      </c>
      <c r="S37" s="70">
        <v>0.16435397289047562</v>
      </c>
      <c r="T37" s="70">
        <v>0.12248159406657418</v>
      </c>
      <c r="U37" s="70">
        <v>0.14497357480281747</v>
      </c>
      <c r="V37" s="71">
        <v>6.6010221130913127E-5</v>
      </c>
      <c r="W37" s="59"/>
    </row>
    <row r="38" spans="1:23" x14ac:dyDescent="0.35">
      <c r="A38" s="141"/>
      <c r="B38" s="72" t="s">
        <v>12</v>
      </c>
      <c r="C38" s="73">
        <v>32</v>
      </c>
      <c r="D38" s="74">
        <v>32</v>
      </c>
      <c r="E38" s="74">
        <v>32</v>
      </c>
      <c r="F38" s="74">
        <v>32</v>
      </c>
      <c r="G38" s="74">
        <v>32</v>
      </c>
      <c r="H38" s="74">
        <v>32</v>
      </c>
      <c r="I38" s="74">
        <v>32</v>
      </c>
      <c r="J38" s="74">
        <v>32</v>
      </c>
      <c r="K38" s="74">
        <v>32</v>
      </c>
      <c r="L38" s="74">
        <v>32</v>
      </c>
      <c r="M38" s="74">
        <v>32</v>
      </c>
      <c r="N38" s="74">
        <v>32</v>
      </c>
      <c r="O38" s="74">
        <v>32</v>
      </c>
      <c r="P38" s="74">
        <v>32</v>
      </c>
      <c r="Q38" s="74">
        <v>32</v>
      </c>
      <c r="R38" s="74">
        <v>32</v>
      </c>
      <c r="S38" s="74">
        <v>32</v>
      </c>
      <c r="T38" s="74">
        <v>32</v>
      </c>
      <c r="U38" s="74">
        <v>32</v>
      </c>
      <c r="V38" s="75">
        <v>32</v>
      </c>
      <c r="W38" s="59"/>
    </row>
    <row r="39" spans="1:23" ht="34.5" x14ac:dyDescent="0.35">
      <c r="A39" s="141" t="s">
        <v>48</v>
      </c>
      <c r="B39" s="68" t="s">
        <v>10</v>
      </c>
      <c r="C39" s="80">
        <v>0.19781414201873609</v>
      </c>
      <c r="D39" s="70">
        <v>0.11952286093343936</v>
      </c>
      <c r="E39" s="70">
        <v>0.197247946533229</v>
      </c>
      <c r="F39" s="70">
        <v>0.34664605542025084</v>
      </c>
      <c r="G39" s="78" t="s">
        <v>163</v>
      </c>
      <c r="H39" s="78" t="s">
        <v>172</v>
      </c>
      <c r="I39" s="78" t="s">
        <v>181</v>
      </c>
      <c r="J39" s="78" t="s">
        <v>167</v>
      </c>
      <c r="K39" s="78" t="s">
        <v>152</v>
      </c>
      <c r="L39" s="78" t="s">
        <v>194</v>
      </c>
      <c r="M39" s="78" t="s">
        <v>90</v>
      </c>
      <c r="N39" s="78" t="s">
        <v>131</v>
      </c>
      <c r="O39" s="77">
        <v>1</v>
      </c>
      <c r="P39" s="78" t="s">
        <v>194</v>
      </c>
      <c r="Q39" s="78" t="s">
        <v>203</v>
      </c>
      <c r="R39" s="78" t="s">
        <v>204</v>
      </c>
      <c r="S39" s="78" t="s">
        <v>101</v>
      </c>
      <c r="T39" s="70">
        <v>0.31080490807094602</v>
      </c>
      <c r="U39" s="78" t="s">
        <v>129</v>
      </c>
      <c r="V39" s="79" t="s">
        <v>233</v>
      </c>
      <c r="W39" s="59"/>
    </row>
    <row r="40" spans="1:23" ht="23" x14ac:dyDescent="0.35">
      <c r="A40" s="142"/>
      <c r="B40" s="68" t="s">
        <v>11</v>
      </c>
      <c r="C40" s="80">
        <v>0.27780936659387301</v>
      </c>
      <c r="D40" s="70">
        <v>0.51468165554090151</v>
      </c>
      <c r="E40" s="70">
        <v>0.27921495751437508</v>
      </c>
      <c r="F40" s="70">
        <v>5.1937219684336774E-2</v>
      </c>
      <c r="G40" s="70">
        <v>6.5503056102519106E-4</v>
      </c>
      <c r="H40" s="70">
        <v>1.1100465419977953E-3</v>
      </c>
      <c r="I40" s="70">
        <v>2.6261136739175821E-3</v>
      </c>
      <c r="J40" s="70">
        <v>1.4312138641780358E-6</v>
      </c>
      <c r="K40" s="70">
        <v>1.4967850059904317E-2</v>
      </c>
      <c r="L40" s="70">
        <v>2.8827273134399067E-3</v>
      </c>
      <c r="M40" s="70">
        <v>4.7158908358609763E-3</v>
      </c>
      <c r="N40" s="70">
        <v>8.955953252015713E-3</v>
      </c>
      <c r="O40" s="81"/>
      <c r="P40" s="70">
        <v>2.8827273134399067E-3</v>
      </c>
      <c r="Q40" s="70">
        <v>9.4559306127567425E-3</v>
      </c>
      <c r="R40" s="70">
        <v>1.7880984647503002E-2</v>
      </c>
      <c r="S40" s="70">
        <v>3.2484909813792423E-3</v>
      </c>
      <c r="T40" s="70">
        <v>8.3380212091748646E-2</v>
      </c>
      <c r="U40" s="70">
        <v>1.1553998134964446E-4</v>
      </c>
      <c r="V40" s="71">
        <v>1.0560624344252329E-5</v>
      </c>
      <c r="W40" s="59"/>
    </row>
    <row r="41" spans="1:23" x14ac:dyDescent="0.35">
      <c r="A41" s="141"/>
      <c r="B41" s="72" t="s">
        <v>12</v>
      </c>
      <c r="C41" s="73">
        <v>32</v>
      </c>
      <c r="D41" s="74">
        <v>32</v>
      </c>
      <c r="E41" s="74">
        <v>32</v>
      </c>
      <c r="F41" s="74">
        <v>32</v>
      </c>
      <c r="G41" s="74">
        <v>32</v>
      </c>
      <c r="H41" s="74">
        <v>32</v>
      </c>
      <c r="I41" s="74">
        <v>32</v>
      </c>
      <c r="J41" s="74">
        <v>32</v>
      </c>
      <c r="K41" s="74">
        <v>32</v>
      </c>
      <c r="L41" s="74">
        <v>32</v>
      </c>
      <c r="M41" s="74">
        <v>32</v>
      </c>
      <c r="N41" s="74">
        <v>32</v>
      </c>
      <c r="O41" s="74">
        <v>32</v>
      </c>
      <c r="P41" s="74">
        <v>32</v>
      </c>
      <c r="Q41" s="74">
        <v>32</v>
      </c>
      <c r="R41" s="74">
        <v>32</v>
      </c>
      <c r="S41" s="74">
        <v>32</v>
      </c>
      <c r="T41" s="74">
        <v>32</v>
      </c>
      <c r="U41" s="74">
        <v>32</v>
      </c>
      <c r="V41" s="75">
        <v>32</v>
      </c>
      <c r="W41" s="59"/>
    </row>
    <row r="42" spans="1:23" ht="34.5" x14ac:dyDescent="0.35">
      <c r="A42" s="141" t="s">
        <v>49</v>
      </c>
      <c r="B42" s="68" t="s">
        <v>10</v>
      </c>
      <c r="C42" s="80">
        <v>0.30330925737798053</v>
      </c>
      <c r="D42" s="70">
        <v>0.20505857076246331</v>
      </c>
      <c r="E42" s="78" t="s">
        <v>153</v>
      </c>
      <c r="F42" s="70">
        <v>0.33450485996669865</v>
      </c>
      <c r="G42" s="78" t="s">
        <v>164</v>
      </c>
      <c r="H42" s="78" t="s">
        <v>173</v>
      </c>
      <c r="I42" s="78" t="s">
        <v>182</v>
      </c>
      <c r="J42" s="78" t="s">
        <v>187</v>
      </c>
      <c r="K42" s="70">
        <v>0.28372048255267307</v>
      </c>
      <c r="L42" s="78" t="s">
        <v>195</v>
      </c>
      <c r="M42" s="78" t="s">
        <v>198</v>
      </c>
      <c r="N42" s="78" t="s">
        <v>95</v>
      </c>
      <c r="O42" s="78" t="s">
        <v>194</v>
      </c>
      <c r="P42" s="77">
        <v>1</v>
      </c>
      <c r="Q42" s="78" t="s">
        <v>205</v>
      </c>
      <c r="R42" s="78" t="s">
        <v>196</v>
      </c>
      <c r="S42" s="78" t="s">
        <v>206</v>
      </c>
      <c r="T42" s="78" t="s">
        <v>130</v>
      </c>
      <c r="U42" s="78" t="s">
        <v>203</v>
      </c>
      <c r="V42" s="79" t="s">
        <v>234</v>
      </c>
      <c r="W42" s="59"/>
    </row>
    <row r="43" spans="1:23" ht="23" x14ac:dyDescent="0.35">
      <c r="A43" s="142"/>
      <c r="B43" s="68" t="s">
        <v>11</v>
      </c>
      <c r="C43" s="80">
        <v>9.1501659155710652E-2</v>
      </c>
      <c r="D43" s="70">
        <v>0.26022877852964488</v>
      </c>
      <c r="E43" s="70">
        <v>4.3660053030347867E-2</v>
      </c>
      <c r="F43" s="70">
        <v>6.1307153977410066E-2</v>
      </c>
      <c r="G43" s="70">
        <v>9.53072677957614E-4</v>
      </c>
      <c r="H43" s="70">
        <v>6.2749463611783064E-4</v>
      </c>
      <c r="I43" s="70">
        <v>4.9037885302728145E-5</v>
      </c>
      <c r="J43" s="70">
        <v>2.1895352756201398E-3</v>
      </c>
      <c r="K43" s="70">
        <v>0.11556967369270482</v>
      </c>
      <c r="L43" s="70">
        <v>2.0961592797926351E-2</v>
      </c>
      <c r="M43" s="70">
        <v>2.2933642272855593E-2</v>
      </c>
      <c r="N43" s="70">
        <v>7.2223201619703806E-3</v>
      </c>
      <c r="O43" s="70">
        <v>2.8827273134399067E-3</v>
      </c>
      <c r="P43" s="81"/>
      <c r="Q43" s="70">
        <v>1.9581478705202994E-3</v>
      </c>
      <c r="R43" s="70">
        <v>1.1497916159551787E-2</v>
      </c>
      <c r="S43" s="70">
        <v>2.4051186248853627E-2</v>
      </c>
      <c r="T43" s="70">
        <v>8.7243486816131286E-3</v>
      </c>
      <c r="U43" s="70">
        <v>9.4745119764770309E-3</v>
      </c>
      <c r="V43" s="71">
        <v>1.7289517620471625E-5</v>
      </c>
      <c r="W43" s="59"/>
    </row>
    <row r="44" spans="1:23" x14ac:dyDescent="0.35">
      <c r="A44" s="141"/>
      <c r="B44" s="72" t="s">
        <v>12</v>
      </c>
      <c r="C44" s="73">
        <v>32</v>
      </c>
      <c r="D44" s="74">
        <v>32</v>
      </c>
      <c r="E44" s="74">
        <v>32</v>
      </c>
      <c r="F44" s="74">
        <v>32</v>
      </c>
      <c r="G44" s="74">
        <v>32</v>
      </c>
      <c r="H44" s="74">
        <v>32</v>
      </c>
      <c r="I44" s="74">
        <v>32</v>
      </c>
      <c r="J44" s="74">
        <v>32</v>
      </c>
      <c r="K44" s="74">
        <v>32</v>
      </c>
      <c r="L44" s="74">
        <v>32</v>
      </c>
      <c r="M44" s="74">
        <v>32</v>
      </c>
      <c r="N44" s="74">
        <v>32</v>
      </c>
      <c r="O44" s="74">
        <v>32</v>
      </c>
      <c r="P44" s="74">
        <v>32</v>
      </c>
      <c r="Q44" s="74">
        <v>32</v>
      </c>
      <c r="R44" s="74">
        <v>32</v>
      </c>
      <c r="S44" s="74">
        <v>32</v>
      </c>
      <c r="T44" s="74">
        <v>32</v>
      </c>
      <c r="U44" s="74">
        <v>32</v>
      </c>
      <c r="V44" s="75">
        <v>32</v>
      </c>
      <c r="W44" s="59"/>
    </row>
    <row r="45" spans="1:23" ht="34.5" x14ac:dyDescent="0.35">
      <c r="A45" s="141" t="s">
        <v>50</v>
      </c>
      <c r="B45" s="68" t="s">
        <v>10</v>
      </c>
      <c r="C45" s="80">
        <v>0.20124024184570943</v>
      </c>
      <c r="D45" s="70">
        <v>-4.3773469935738822E-2</v>
      </c>
      <c r="E45" s="70">
        <v>9.8507899622651954E-2</v>
      </c>
      <c r="F45" s="70">
        <v>0.20755965134081969</v>
      </c>
      <c r="G45" s="78" t="s">
        <v>165</v>
      </c>
      <c r="H45" s="78" t="s">
        <v>174</v>
      </c>
      <c r="I45" s="78" t="s">
        <v>182</v>
      </c>
      <c r="J45" s="78" t="s">
        <v>188</v>
      </c>
      <c r="K45" s="78" t="s">
        <v>77</v>
      </c>
      <c r="L45" s="70">
        <v>0.33237680928795865</v>
      </c>
      <c r="M45" s="78" t="s">
        <v>199</v>
      </c>
      <c r="N45" s="78" t="s">
        <v>202</v>
      </c>
      <c r="O45" s="78" t="s">
        <v>203</v>
      </c>
      <c r="P45" s="78" t="s">
        <v>205</v>
      </c>
      <c r="Q45" s="77">
        <v>1</v>
      </c>
      <c r="R45" s="78" t="s">
        <v>207</v>
      </c>
      <c r="S45" s="78" t="s">
        <v>183</v>
      </c>
      <c r="T45" s="78" t="s">
        <v>212</v>
      </c>
      <c r="U45" s="78" t="s">
        <v>222</v>
      </c>
      <c r="V45" s="79" t="s">
        <v>235</v>
      </c>
      <c r="W45" s="59"/>
    </row>
    <row r="46" spans="1:23" ht="23" x14ac:dyDescent="0.35">
      <c r="A46" s="142"/>
      <c r="B46" s="68" t="s">
        <v>11</v>
      </c>
      <c r="C46" s="80">
        <v>0.26940168478774912</v>
      </c>
      <c r="D46" s="70">
        <v>0.81197246239481624</v>
      </c>
      <c r="E46" s="70">
        <v>0.59169466214911026</v>
      </c>
      <c r="F46" s="70">
        <v>0.25433287352019496</v>
      </c>
      <c r="G46" s="70">
        <v>6.2972840977637383E-3</v>
      </c>
      <c r="H46" s="70">
        <v>7.4874506197175799E-3</v>
      </c>
      <c r="I46" s="70">
        <v>4.8784396754672958E-5</v>
      </c>
      <c r="J46" s="70">
        <v>1.6076335184699647E-3</v>
      </c>
      <c r="K46" s="70">
        <v>1.2211418081121686E-2</v>
      </c>
      <c r="L46" s="70">
        <v>6.3078259305024226E-2</v>
      </c>
      <c r="M46" s="70">
        <v>5.1175693705939407E-3</v>
      </c>
      <c r="N46" s="70">
        <v>3.5423193116533913E-2</v>
      </c>
      <c r="O46" s="70">
        <v>9.4559306127567425E-3</v>
      </c>
      <c r="P46" s="70">
        <v>1.9581478705202994E-3</v>
      </c>
      <c r="Q46" s="81"/>
      <c r="R46" s="70">
        <v>6.5774829653172217E-10</v>
      </c>
      <c r="S46" s="70">
        <v>1.6554938597284541E-5</v>
      </c>
      <c r="T46" s="70">
        <v>1.4463878957446085E-10</v>
      </c>
      <c r="U46" s="70">
        <v>5.6111622283478509E-5</v>
      </c>
      <c r="V46" s="71">
        <v>2.3051543259342047E-6</v>
      </c>
      <c r="W46" s="59"/>
    </row>
    <row r="47" spans="1:23" x14ac:dyDescent="0.35">
      <c r="A47" s="141"/>
      <c r="B47" s="72" t="s">
        <v>12</v>
      </c>
      <c r="C47" s="73">
        <v>32</v>
      </c>
      <c r="D47" s="74">
        <v>32</v>
      </c>
      <c r="E47" s="74">
        <v>32</v>
      </c>
      <c r="F47" s="74">
        <v>32</v>
      </c>
      <c r="G47" s="74">
        <v>32</v>
      </c>
      <c r="H47" s="74">
        <v>32</v>
      </c>
      <c r="I47" s="74">
        <v>32</v>
      </c>
      <c r="J47" s="74">
        <v>32</v>
      </c>
      <c r="K47" s="74">
        <v>32</v>
      </c>
      <c r="L47" s="74">
        <v>32</v>
      </c>
      <c r="M47" s="74">
        <v>32</v>
      </c>
      <c r="N47" s="74">
        <v>32</v>
      </c>
      <c r="O47" s="74">
        <v>32</v>
      </c>
      <c r="P47" s="74">
        <v>32</v>
      </c>
      <c r="Q47" s="74">
        <v>32</v>
      </c>
      <c r="R47" s="74">
        <v>32</v>
      </c>
      <c r="S47" s="74">
        <v>32</v>
      </c>
      <c r="T47" s="74">
        <v>32</v>
      </c>
      <c r="U47" s="74">
        <v>32</v>
      </c>
      <c r="V47" s="75">
        <v>32</v>
      </c>
      <c r="W47" s="59"/>
    </row>
    <row r="48" spans="1:23" ht="34.5" x14ac:dyDescent="0.35">
      <c r="A48" s="141" t="s">
        <v>51</v>
      </c>
      <c r="B48" s="68" t="s">
        <v>10</v>
      </c>
      <c r="C48" s="80">
        <v>0.17748862770716778</v>
      </c>
      <c r="D48" s="70">
        <v>-7.6044199474636046E-2</v>
      </c>
      <c r="E48" s="70">
        <v>-3.9491540879385403E-2</v>
      </c>
      <c r="F48" s="70">
        <v>0.2140841928746568</v>
      </c>
      <c r="G48" s="78" t="s">
        <v>94</v>
      </c>
      <c r="H48" s="78" t="s">
        <v>175</v>
      </c>
      <c r="I48" s="78" t="s">
        <v>103</v>
      </c>
      <c r="J48" s="78" t="s">
        <v>120</v>
      </c>
      <c r="K48" s="78" t="s">
        <v>192</v>
      </c>
      <c r="L48" s="78" t="s">
        <v>196</v>
      </c>
      <c r="M48" s="78" t="s">
        <v>200</v>
      </c>
      <c r="N48" s="78" t="s">
        <v>174</v>
      </c>
      <c r="O48" s="78" t="s">
        <v>204</v>
      </c>
      <c r="P48" s="78" t="s">
        <v>196</v>
      </c>
      <c r="Q48" s="78" t="s">
        <v>207</v>
      </c>
      <c r="R48" s="77">
        <v>1</v>
      </c>
      <c r="S48" s="78" t="s">
        <v>208</v>
      </c>
      <c r="T48" s="78" t="s">
        <v>213</v>
      </c>
      <c r="U48" s="78" t="s">
        <v>138</v>
      </c>
      <c r="V48" s="79" t="s">
        <v>236</v>
      </c>
      <c r="W48" s="59"/>
    </row>
    <row r="49" spans="1:23" ht="23" x14ac:dyDescent="0.35">
      <c r="A49" s="142"/>
      <c r="B49" s="68" t="s">
        <v>11</v>
      </c>
      <c r="C49" s="80">
        <v>0.33113703481028689</v>
      </c>
      <c r="D49" s="70">
        <v>0.67912599446340227</v>
      </c>
      <c r="E49" s="70">
        <v>0.83008441231241425</v>
      </c>
      <c r="F49" s="70">
        <v>0.23937013815613958</v>
      </c>
      <c r="G49" s="70">
        <v>1.3227324874962632E-2</v>
      </c>
      <c r="H49" s="70">
        <v>4.4717528948927951E-3</v>
      </c>
      <c r="I49" s="70">
        <v>4.9106099626727634E-4</v>
      </c>
      <c r="J49" s="70">
        <v>1.0267772335450795E-3</v>
      </c>
      <c r="K49" s="70">
        <v>2.8481600190189378E-5</v>
      </c>
      <c r="L49" s="70">
        <v>1.1497916159551787E-2</v>
      </c>
      <c r="M49" s="70">
        <v>2.2208560375617768E-3</v>
      </c>
      <c r="N49" s="70">
        <v>7.4551911209344559E-3</v>
      </c>
      <c r="O49" s="70">
        <v>1.7880984647503002E-2</v>
      </c>
      <c r="P49" s="70">
        <v>1.1497916159551787E-2</v>
      </c>
      <c r="Q49" s="70">
        <v>6.5774829653172217E-10</v>
      </c>
      <c r="R49" s="81"/>
      <c r="S49" s="70">
        <v>6.0044952416194187E-7</v>
      </c>
      <c r="T49" s="70">
        <v>4.0713809172716209E-9</v>
      </c>
      <c r="U49" s="70">
        <v>7.0070422106273435E-5</v>
      </c>
      <c r="V49" s="71">
        <v>1.2709800737901547E-6</v>
      </c>
      <c r="W49" s="59"/>
    </row>
    <row r="50" spans="1:23" x14ac:dyDescent="0.35">
      <c r="A50" s="141"/>
      <c r="B50" s="72" t="s">
        <v>12</v>
      </c>
      <c r="C50" s="73">
        <v>32</v>
      </c>
      <c r="D50" s="74">
        <v>32</v>
      </c>
      <c r="E50" s="74">
        <v>32</v>
      </c>
      <c r="F50" s="74">
        <v>32</v>
      </c>
      <c r="G50" s="74">
        <v>32</v>
      </c>
      <c r="H50" s="74">
        <v>32</v>
      </c>
      <c r="I50" s="74">
        <v>32</v>
      </c>
      <c r="J50" s="74">
        <v>32</v>
      </c>
      <c r="K50" s="74">
        <v>32</v>
      </c>
      <c r="L50" s="74">
        <v>32</v>
      </c>
      <c r="M50" s="74">
        <v>32</v>
      </c>
      <c r="N50" s="74">
        <v>32</v>
      </c>
      <c r="O50" s="74">
        <v>32</v>
      </c>
      <c r="P50" s="74">
        <v>32</v>
      </c>
      <c r="Q50" s="74">
        <v>32</v>
      </c>
      <c r="R50" s="74">
        <v>32</v>
      </c>
      <c r="S50" s="74">
        <v>32</v>
      </c>
      <c r="T50" s="74">
        <v>32</v>
      </c>
      <c r="U50" s="74">
        <v>32</v>
      </c>
      <c r="V50" s="75">
        <v>32</v>
      </c>
      <c r="W50" s="59"/>
    </row>
    <row r="51" spans="1:23" ht="34.5" x14ac:dyDescent="0.35">
      <c r="A51" s="141" t="s">
        <v>52</v>
      </c>
      <c r="B51" s="68" t="s">
        <v>10</v>
      </c>
      <c r="C51" s="80">
        <v>2.3200114660405575E-2</v>
      </c>
      <c r="D51" s="70">
        <v>-3.644660856767986E-2</v>
      </c>
      <c r="E51" s="70">
        <v>1.472145175622349E-2</v>
      </c>
      <c r="F51" s="70">
        <v>0.16455788168766902</v>
      </c>
      <c r="G51" s="78" t="s">
        <v>166</v>
      </c>
      <c r="H51" s="78" t="s">
        <v>176</v>
      </c>
      <c r="I51" s="78" t="s">
        <v>159</v>
      </c>
      <c r="J51" s="78" t="s">
        <v>189</v>
      </c>
      <c r="K51" s="78" t="s">
        <v>164</v>
      </c>
      <c r="L51" s="78" t="s">
        <v>197</v>
      </c>
      <c r="M51" s="78" t="s">
        <v>201</v>
      </c>
      <c r="N51" s="70">
        <v>0.25185823591438894</v>
      </c>
      <c r="O51" s="78" t="s">
        <v>101</v>
      </c>
      <c r="P51" s="78" t="s">
        <v>206</v>
      </c>
      <c r="Q51" s="78" t="s">
        <v>183</v>
      </c>
      <c r="R51" s="78" t="s">
        <v>208</v>
      </c>
      <c r="S51" s="77">
        <v>1</v>
      </c>
      <c r="T51" s="78" t="s">
        <v>214</v>
      </c>
      <c r="U51" s="78" t="s">
        <v>223</v>
      </c>
      <c r="V51" s="79" t="s">
        <v>167</v>
      </c>
      <c r="W51" s="59"/>
    </row>
    <row r="52" spans="1:23" ht="23" x14ac:dyDescent="0.35">
      <c r="A52" s="142"/>
      <c r="B52" s="68" t="s">
        <v>11</v>
      </c>
      <c r="C52" s="80">
        <v>0.89970427485462301</v>
      </c>
      <c r="D52" s="70">
        <v>0.84301694590432086</v>
      </c>
      <c r="E52" s="70">
        <v>0.93626268032189386</v>
      </c>
      <c r="F52" s="70">
        <v>0.36811960183278847</v>
      </c>
      <c r="G52" s="70">
        <v>2.4205095527275364E-3</v>
      </c>
      <c r="H52" s="70">
        <v>4.2006531028619697E-4</v>
      </c>
      <c r="I52" s="70">
        <v>2.8512654976843175E-4</v>
      </c>
      <c r="J52" s="70">
        <v>1.0125230649804344E-4</v>
      </c>
      <c r="K52" s="70">
        <v>9.5547358671914666E-4</v>
      </c>
      <c r="L52" s="70">
        <v>1.4923439482217352E-3</v>
      </c>
      <c r="M52" s="70">
        <v>6.1851093143623293E-6</v>
      </c>
      <c r="N52" s="70">
        <v>0.16435397289047562</v>
      </c>
      <c r="O52" s="70">
        <v>3.2484909813792423E-3</v>
      </c>
      <c r="P52" s="70">
        <v>2.4051186248853627E-2</v>
      </c>
      <c r="Q52" s="70">
        <v>1.6554938597284541E-5</v>
      </c>
      <c r="R52" s="70">
        <v>6.0044952416194187E-7</v>
      </c>
      <c r="S52" s="81"/>
      <c r="T52" s="70">
        <v>2.732582531808992E-6</v>
      </c>
      <c r="U52" s="70">
        <v>2.7459710084483932E-5</v>
      </c>
      <c r="V52" s="71">
        <v>1.4476326777621397E-6</v>
      </c>
      <c r="W52" s="59"/>
    </row>
    <row r="53" spans="1:23" x14ac:dyDescent="0.35">
      <c r="A53" s="141"/>
      <c r="B53" s="72" t="s">
        <v>12</v>
      </c>
      <c r="C53" s="73">
        <v>32</v>
      </c>
      <c r="D53" s="74">
        <v>32</v>
      </c>
      <c r="E53" s="74">
        <v>32</v>
      </c>
      <c r="F53" s="74">
        <v>32</v>
      </c>
      <c r="G53" s="74">
        <v>32</v>
      </c>
      <c r="H53" s="74">
        <v>32</v>
      </c>
      <c r="I53" s="74">
        <v>32</v>
      </c>
      <c r="J53" s="74">
        <v>32</v>
      </c>
      <c r="K53" s="74">
        <v>32</v>
      </c>
      <c r="L53" s="74">
        <v>32</v>
      </c>
      <c r="M53" s="74">
        <v>32</v>
      </c>
      <c r="N53" s="74">
        <v>32</v>
      </c>
      <c r="O53" s="74">
        <v>32</v>
      </c>
      <c r="P53" s="74">
        <v>32</v>
      </c>
      <c r="Q53" s="74">
        <v>32</v>
      </c>
      <c r="R53" s="74">
        <v>32</v>
      </c>
      <c r="S53" s="74">
        <v>32</v>
      </c>
      <c r="T53" s="74">
        <v>32</v>
      </c>
      <c r="U53" s="74">
        <v>32</v>
      </c>
      <c r="V53" s="75">
        <v>32</v>
      </c>
      <c r="W53" s="59"/>
    </row>
    <row r="54" spans="1:23" ht="34.5" x14ac:dyDescent="0.35">
      <c r="A54" s="141" t="s">
        <v>53</v>
      </c>
      <c r="B54" s="68" t="s">
        <v>10</v>
      </c>
      <c r="C54" s="80">
        <v>4.0987737483510887E-2</v>
      </c>
      <c r="D54" s="70">
        <v>-0.17533993731862804</v>
      </c>
      <c r="E54" s="70">
        <v>7.3566755867331718E-2</v>
      </c>
      <c r="F54" s="70">
        <v>0.26883519420636515</v>
      </c>
      <c r="G54" s="78" t="s">
        <v>162</v>
      </c>
      <c r="H54" s="78" t="s">
        <v>209</v>
      </c>
      <c r="I54" s="78" t="s">
        <v>210</v>
      </c>
      <c r="J54" s="78" t="s">
        <v>211</v>
      </c>
      <c r="K54" s="78" t="s">
        <v>199</v>
      </c>
      <c r="L54" s="70">
        <v>0.30757341576506952</v>
      </c>
      <c r="M54" s="78" t="s">
        <v>143</v>
      </c>
      <c r="N54" s="70">
        <v>0.27866773810129214</v>
      </c>
      <c r="O54" s="70">
        <v>0.31080490807094602</v>
      </c>
      <c r="P54" s="78" t="s">
        <v>130</v>
      </c>
      <c r="Q54" s="78" t="s">
        <v>212</v>
      </c>
      <c r="R54" s="78" t="s">
        <v>213</v>
      </c>
      <c r="S54" s="78" t="s">
        <v>214</v>
      </c>
      <c r="T54" s="77">
        <v>1</v>
      </c>
      <c r="U54" s="78" t="s">
        <v>210</v>
      </c>
      <c r="V54" s="79" t="s">
        <v>237</v>
      </c>
      <c r="W54" s="59"/>
    </row>
    <row r="55" spans="1:23" ht="23" x14ac:dyDescent="0.35">
      <c r="A55" s="142"/>
      <c r="B55" s="68" t="s">
        <v>11</v>
      </c>
      <c r="C55" s="80">
        <v>0.82374547106919516</v>
      </c>
      <c r="D55" s="70">
        <v>0.33711871254215742</v>
      </c>
      <c r="E55" s="70">
        <v>0.68905176613787122</v>
      </c>
      <c r="F55" s="70">
        <v>0.13680301854060145</v>
      </c>
      <c r="G55" s="70">
        <v>3.864891498085278E-3</v>
      </c>
      <c r="H55" s="70">
        <v>1.5944648298893735E-2</v>
      </c>
      <c r="I55" s="70">
        <v>2.414221061597539E-4</v>
      </c>
      <c r="J55" s="70">
        <v>5.8953528439313202E-3</v>
      </c>
      <c r="K55" s="70">
        <v>5.0812821610416621E-3</v>
      </c>
      <c r="L55" s="70">
        <v>8.6810710374140385E-2</v>
      </c>
      <c r="M55" s="70">
        <v>7.8399695316940729E-3</v>
      </c>
      <c r="N55" s="70">
        <v>0.12248159406657418</v>
      </c>
      <c r="O55" s="70">
        <v>8.3380212091748646E-2</v>
      </c>
      <c r="P55" s="70">
        <v>8.7243486816131286E-3</v>
      </c>
      <c r="Q55" s="70">
        <v>1.4463878957446085E-10</v>
      </c>
      <c r="R55" s="70">
        <v>4.0713809172716209E-9</v>
      </c>
      <c r="S55" s="70">
        <v>2.732582531808992E-6</v>
      </c>
      <c r="T55" s="81"/>
      <c r="U55" s="70">
        <v>2.4601525744319234E-4</v>
      </c>
      <c r="V55" s="71">
        <v>2.3641011744108889E-5</v>
      </c>
      <c r="W55" s="59"/>
    </row>
    <row r="56" spans="1:23" x14ac:dyDescent="0.35">
      <c r="A56" s="141"/>
      <c r="B56" s="72" t="s">
        <v>12</v>
      </c>
      <c r="C56" s="73">
        <v>32</v>
      </c>
      <c r="D56" s="74">
        <v>32</v>
      </c>
      <c r="E56" s="74">
        <v>32</v>
      </c>
      <c r="F56" s="74">
        <v>32</v>
      </c>
      <c r="G56" s="74">
        <v>32</v>
      </c>
      <c r="H56" s="74">
        <v>32</v>
      </c>
      <c r="I56" s="74">
        <v>32</v>
      </c>
      <c r="J56" s="74">
        <v>32</v>
      </c>
      <c r="K56" s="74">
        <v>32</v>
      </c>
      <c r="L56" s="74">
        <v>32</v>
      </c>
      <c r="M56" s="74">
        <v>32</v>
      </c>
      <c r="N56" s="74">
        <v>32</v>
      </c>
      <c r="O56" s="74">
        <v>32</v>
      </c>
      <c r="P56" s="74">
        <v>32</v>
      </c>
      <c r="Q56" s="74">
        <v>32</v>
      </c>
      <c r="R56" s="74">
        <v>32</v>
      </c>
      <c r="S56" s="74">
        <v>32</v>
      </c>
      <c r="T56" s="74">
        <v>32</v>
      </c>
      <c r="U56" s="74">
        <v>32</v>
      </c>
      <c r="V56" s="75">
        <v>32</v>
      </c>
      <c r="W56" s="59"/>
    </row>
    <row r="57" spans="1:23" ht="34.5" x14ac:dyDescent="0.35">
      <c r="A57" s="141" t="s">
        <v>54</v>
      </c>
      <c r="B57" s="68" t="s">
        <v>10</v>
      </c>
      <c r="C57" s="80">
        <v>0.27929018668848443</v>
      </c>
      <c r="D57" s="70">
        <v>5.2159756044518425E-2</v>
      </c>
      <c r="E57" s="70">
        <v>0.25087186470311085</v>
      </c>
      <c r="F57" s="78" t="s">
        <v>215</v>
      </c>
      <c r="G57" s="78" t="s">
        <v>141</v>
      </c>
      <c r="H57" s="78" t="s">
        <v>216</v>
      </c>
      <c r="I57" s="78" t="s">
        <v>217</v>
      </c>
      <c r="J57" s="78" t="s">
        <v>218</v>
      </c>
      <c r="K57" s="78" t="s">
        <v>219</v>
      </c>
      <c r="L57" s="78" t="s">
        <v>220</v>
      </c>
      <c r="M57" s="78" t="s">
        <v>221</v>
      </c>
      <c r="N57" s="70">
        <v>0.26356014967224078</v>
      </c>
      <c r="O57" s="78" t="s">
        <v>129</v>
      </c>
      <c r="P57" s="78" t="s">
        <v>203</v>
      </c>
      <c r="Q57" s="78" t="s">
        <v>222</v>
      </c>
      <c r="R57" s="78" t="s">
        <v>138</v>
      </c>
      <c r="S57" s="78" t="s">
        <v>223</v>
      </c>
      <c r="T57" s="78" t="s">
        <v>210</v>
      </c>
      <c r="U57" s="77">
        <v>1</v>
      </c>
      <c r="V57" s="79" t="s">
        <v>238</v>
      </c>
      <c r="W57" s="59"/>
    </row>
    <row r="58" spans="1:23" ht="23" x14ac:dyDescent="0.35">
      <c r="A58" s="142"/>
      <c r="B58" s="68" t="s">
        <v>11</v>
      </c>
      <c r="C58" s="80">
        <v>0.12161394380524755</v>
      </c>
      <c r="D58" s="70">
        <v>0.77678296220600573</v>
      </c>
      <c r="E58" s="70">
        <v>0.16606824868784897</v>
      </c>
      <c r="F58" s="70">
        <v>4.6955657963764517E-2</v>
      </c>
      <c r="G58" s="70">
        <v>1.5265704721241854E-4</v>
      </c>
      <c r="H58" s="70">
        <v>2.953619238805693E-2</v>
      </c>
      <c r="I58" s="70">
        <v>4.0917971759271032E-4</v>
      </c>
      <c r="J58" s="70">
        <v>2.1121814789935294E-4</v>
      </c>
      <c r="K58" s="70">
        <v>2.7515220511025208E-3</v>
      </c>
      <c r="L58" s="70">
        <v>1.0104544047189097E-3</v>
      </c>
      <c r="M58" s="70">
        <v>1.0660964543396951E-2</v>
      </c>
      <c r="N58" s="70">
        <v>0.14497357480281747</v>
      </c>
      <c r="O58" s="70">
        <v>1.1553998134964446E-4</v>
      </c>
      <c r="P58" s="70">
        <v>9.4745119764770309E-3</v>
      </c>
      <c r="Q58" s="70">
        <v>5.6111622283478509E-5</v>
      </c>
      <c r="R58" s="70">
        <v>7.0070422106273435E-5</v>
      </c>
      <c r="S58" s="70">
        <v>2.7459710084483932E-5</v>
      </c>
      <c r="T58" s="70">
        <v>2.4601525744319234E-4</v>
      </c>
      <c r="U58" s="81"/>
      <c r="V58" s="71">
        <v>1.0085766848597119E-6</v>
      </c>
      <c r="W58" s="59"/>
    </row>
    <row r="59" spans="1:23" x14ac:dyDescent="0.35">
      <c r="A59" s="141"/>
      <c r="B59" s="72" t="s">
        <v>12</v>
      </c>
      <c r="C59" s="73">
        <v>32</v>
      </c>
      <c r="D59" s="74">
        <v>32</v>
      </c>
      <c r="E59" s="74">
        <v>32</v>
      </c>
      <c r="F59" s="74">
        <v>32</v>
      </c>
      <c r="G59" s="74">
        <v>32</v>
      </c>
      <c r="H59" s="74">
        <v>32</v>
      </c>
      <c r="I59" s="74">
        <v>32</v>
      </c>
      <c r="J59" s="74">
        <v>32</v>
      </c>
      <c r="K59" s="74">
        <v>32</v>
      </c>
      <c r="L59" s="74">
        <v>32</v>
      </c>
      <c r="M59" s="74">
        <v>32</v>
      </c>
      <c r="N59" s="74">
        <v>32</v>
      </c>
      <c r="O59" s="74">
        <v>32</v>
      </c>
      <c r="P59" s="74">
        <v>32</v>
      </c>
      <c r="Q59" s="74">
        <v>32</v>
      </c>
      <c r="R59" s="74">
        <v>32</v>
      </c>
      <c r="S59" s="74">
        <v>32</v>
      </c>
      <c r="T59" s="74">
        <v>32</v>
      </c>
      <c r="U59" s="74">
        <v>32</v>
      </c>
      <c r="V59" s="75">
        <v>32</v>
      </c>
      <c r="W59" s="59"/>
    </row>
    <row r="60" spans="1:23" ht="34.5" x14ac:dyDescent="0.35">
      <c r="A60" s="141" t="s">
        <v>55</v>
      </c>
      <c r="B60" s="68" t="s">
        <v>10</v>
      </c>
      <c r="C60" s="76" t="s">
        <v>224</v>
      </c>
      <c r="D60" s="78" t="s">
        <v>225</v>
      </c>
      <c r="E60" s="78" t="s">
        <v>196</v>
      </c>
      <c r="F60" s="78" t="s">
        <v>218</v>
      </c>
      <c r="G60" s="78" t="s">
        <v>226</v>
      </c>
      <c r="H60" s="78" t="s">
        <v>227</v>
      </c>
      <c r="I60" s="78" t="s">
        <v>228</v>
      </c>
      <c r="J60" s="78" t="s">
        <v>229</v>
      </c>
      <c r="K60" s="78" t="s">
        <v>99</v>
      </c>
      <c r="L60" s="78" t="s">
        <v>230</v>
      </c>
      <c r="M60" s="78" t="s">
        <v>231</v>
      </c>
      <c r="N60" s="78" t="s">
        <v>232</v>
      </c>
      <c r="O60" s="78" t="s">
        <v>233</v>
      </c>
      <c r="P60" s="78" t="s">
        <v>234</v>
      </c>
      <c r="Q60" s="78" t="s">
        <v>235</v>
      </c>
      <c r="R60" s="78" t="s">
        <v>236</v>
      </c>
      <c r="S60" s="78" t="s">
        <v>167</v>
      </c>
      <c r="T60" s="78" t="s">
        <v>237</v>
      </c>
      <c r="U60" s="78" t="s">
        <v>238</v>
      </c>
      <c r="V60" s="82">
        <v>1</v>
      </c>
      <c r="W60" s="59"/>
    </row>
    <row r="61" spans="1:23" ht="23" x14ac:dyDescent="0.35">
      <c r="A61" s="142"/>
      <c r="B61" s="68" t="s">
        <v>11</v>
      </c>
      <c r="C61" s="80">
        <v>3.5480628661562247E-3</v>
      </c>
      <c r="D61" s="70">
        <v>3.6744703247953189E-2</v>
      </c>
      <c r="E61" s="70">
        <v>1.1500942355665896E-2</v>
      </c>
      <c r="F61" s="70">
        <v>2.1101342240920567E-4</v>
      </c>
      <c r="G61" s="70">
        <v>1.4958627697463325E-6</v>
      </c>
      <c r="H61" s="70">
        <v>4.1069042867989039E-9</v>
      </c>
      <c r="I61" s="70">
        <v>9.2674778436768379E-10</v>
      </c>
      <c r="J61" s="70">
        <v>1.1804168353676187E-8</v>
      </c>
      <c r="K61" s="70">
        <v>1.1676842087963469E-6</v>
      </c>
      <c r="L61" s="70">
        <v>1.571806921514865E-7</v>
      </c>
      <c r="M61" s="70">
        <v>5.9432711313697522E-5</v>
      </c>
      <c r="N61" s="70">
        <v>6.6010221130913127E-5</v>
      </c>
      <c r="O61" s="70">
        <v>1.0560624344252329E-5</v>
      </c>
      <c r="P61" s="70">
        <v>1.7289517620471625E-5</v>
      </c>
      <c r="Q61" s="70">
        <v>2.3051543259342047E-6</v>
      </c>
      <c r="R61" s="70">
        <v>1.2709800737901547E-6</v>
      </c>
      <c r="S61" s="70">
        <v>1.4476326777621397E-6</v>
      </c>
      <c r="T61" s="70">
        <v>2.3641011744108889E-5</v>
      </c>
      <c r="U61" s="70">
        <v>1.0085766848597119E-6</v>
      </c>
      <c r="V61" s="83"/>
      <c r="W61" s="59"/>
    </row>
    <row r="62" spans="1:23" x14ac:dyDescent="0.35">
      <c r="A62" s="145"/>
      <c r="B62" s="84" t="s">
        <v>12</v>
      </c>
      <c r="C62" s="85">
        <v>32</v>
      </c>
      <c r="D62" s="86">
        <v>32</v>
      </c>
      <c r="E62" s="86">
        <v>32</v>
      </c>
      <c r="F62" s="86">
        <v>32</v>
      </c>
      <c r="G62" s="86">
        <v>32</v>
      </c>
      <c r="H62" s="86">
        <v>32</v>
      </c>
      <c r="I62" s="86">
        <v>32</v>
      </c>
      <c r="J62" s="86">
        <v>32</v>
      </c>
      <c r="K62" s="86">
        <v>32</v>
      </c>
      <c r="L62" s="86">
        <v>32</v>
      </c>
      <c r="M62" s="86">
        <v>32</v>
      </c>
      <c r="N62" s="86">
        <v>32</v>
      </c>
      <c r="O62" s="86">
        <v>32</v>
      </c>
      <c r="P62" s="86">
        <v>32</v>
      </c>
      <c r="Q62" s="86">
        <v>32</v>
      </c>
      <c r="R62" s="86">
        <v>32</v>
      </c>
      <c r="S62" s="86">
        <v>32</v>
      </c>
      <c r="T62" s="86">
        <v>32</v>
      </c>
      <c r="U62" s="86">
        <v>32</v>
      </c>
      <c r="V62" s="87">
        <v>32</v>
      </c>
      <c r="W62" s="59"/>
    </row>
    <row r="63" spans="1:23" x14ac:dyDescent="0.35">
      <c r="A63" s="143" t="s">
        <v>14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59"/>
    </row>
    <row r="64" spans="1:23" x14ac:dyDescent="0.35">
      <c r="A64" s="143" t="s">
        <v>13</v>
      </c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59"/>
    </row>
  </sheetData>
  <mergeCells count="25">
    <mergeCell ref="AC1:AD1"/>
    <mergeCell ref="A51:A53"/>
    <mergeCell ref="A54:A56"/>
    <mergeCell ref="A57:A59"/>
    <mergeCell ref="A60:A62"/>
    <mergeCell ref="A15:A17"/>
    <mergeCell ref="A18:A20"/>
    <mergeCell ref="A21:A23"/>
    <mergeCell ref="A24:A26"/>
    <mergeCell ref="A27:A29"/>
    <mergeCell ref="A30:A32"/>
    <mergeCell ref="A1:V1"/>
    <mergeCell ref="A2:B2"/>
    <mergeCell ref="A3:A5"/>
    <mergeCell ref="A6:A8"/>
    <mergeCell ref="A9:A11"/>
    <mergeCell ref="A12:A14"/>
    <mergeCell ref="A63:V63"/>
    <mergeCell ref="A64:V64"/>
    <mergeCell ref="A33:A35"/>
    <mergeCell ref="A36:A38"/>
    <mergeCell ref="A39:A41"/>
    <mergeCell ref="A42:A44"/>
    <mergeCell ref="A45:A47"/>
    <mergeCell ref="A48:A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A97E-5A25-4181-93E8-836B1BBF7A4D}">
  <dimension ref="A1:AA46"/>
  <sheetViews>
    <sheetView topLeftCell="O1" workbookViewId="0">
      <selection activeCell="Z2" sqref="Z2:AA2"/>
    </sheetView>
  </sheetViews>
  <sheetFormatPr defaultRowHeight="14.5" x14ac:dyDescent="0.35"/>
  <cols>
    <col min="20" max="20" width="11.81640625" bestFit="1" customWidth="1"/>
  </cols>
  <sheetData>
    <row r="1" spans="1:27" x14ac:dyDescent="0.35">
      <c r="A1" s="151" t="s">
        <v>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88"/>
      <c r="W1" s="151" t="s">
        <v>70</v>
      </c>
      <c r="X1" s="151"/>
      <c r="Y1" s="88"/>
    </row>
    <row r="2" spans="1:27" ht="24" x14ac:dyDescent="0.35">
      <c r="A2" s="153" t="s">
        <v>0</v>
      </c>
      <c r="B2" s="153"/>
      <c r="C2" s="89" t="s">
        <v>56</v>
      </c>
      <c r="D2" s="90" t="s">
        <v>57</v>
      </c>
      <c r="E2" s="90" t="s">
        <v>58</v>
      </c>
      <c r="F2" s="90" t="s">
        <v>59</v>
      </c>
      <c r="G2" s="90" t="s">
        <v>60</v>
      </c>
      <c r="H2" s="90" t="s">
        <v>61</v>
      </c>
      <c r="I2" s="90" t="s">
        <v>62</v>
      </c>
      <c r="J2" s="90" t="s">
        <v>63</v>
      </c>
      <c r="K2" s="90" t="s">
        <v>64</v>
      </c>
      <c r="L2" s="90" t="s">
        <v>65</v>
      </c>
      <c r="M2" s="90" t="s">
        <v>66</v>
      </c>
      <c r="N2" s="90" t="s">
        <v>67</v>
      </c>
      <c r="O2" s="90" t="s">
        <v>68</v>
      </c>
      <c r="P2" s="91" t="s">
        <v>69</v>
      </c>
      <c r="Q2" s="88"/>
      <c r="R2" s="125" t="s">
        <v>73</v>
      </c>
      <c r="S2" s="125" t="s">
        <v>74</v>
      </c>
      <c r="T2" s="125" t="s">
        <v>75</v>
      </c>
      <c r="U2" s="125" t="s">
        <v>76</v>
      </c>
      <c r="W2" s="89" t="s">
        <v>71</v>
      </c>
      <c r="X2" s="91" t="s">
        <v>72</v>
      </c>
      <c r="Y2" s="88"/>
      <c r="Z2" s="125" t="s">
        <v>71</v>
      </c>
      <c r="AA2" s="125" t="s">
        <v>76</v>
      </c>
    </row>
    <row r="3" spans="1:27" ht="34.5" x14ac:dyDescent="0.35">
      <c r="A3" s="154" t="s">
        <v>56</v>
      </c>
      <c r="B3" s="92" t="s">
        <v>10</v>
      </c>
      <c r="C3" s="93">
        <v>1</v>
      </c>
      <c r="D3" s="94" t="s">
        <v>239</v>
      </c>
      <c r="E3" s="94" t="s">
        <v>167</v>
      </c>
      <c r="F3" s="94" t="s">
        <v>240</v>
      </c>
      <c r="G3" s="94" t="s">
        <v>133</v>
      </c>
      <c r="H3" s="94" t="s">
        <v>241</v>
      </c>
      <c r="I3" s="94" t="s">
        <v>242</v>
      </c>
      <c r="J3" s="94" t="s">
        <v>243</v>
      </c>
      <c r="K3" s="94" t="s">
        <v>78</v>
      </c>
      <c r="L3" s="94" t="s">
        <v>244</v>
      </c>
      <c r="M3" s="94" t="s">
        <v>245</v>
      </c>
      <c r="N3" s="95">
        <v>0.3216337604513384</v>
      </c>
      <c r="O3" s="95">
        <v>0.28365431446558775</v>
      </c>
      <c r="P3" s="96" t="s">
        <v>246</v>
      </c>
      <c r="Q3" s="88"/>
      <c r="R3" t="str" cm="1">
        <f t="array" aca="1" ref="R3" ca="1">INDIRECT("A" &amp; (ROW(R1)*3))</f>
        <v>KiP1</v>
      </c>
      <c r="S3" t="str" cm="1">
        <f t="array" aca="1" ref="S3" ca="1">INDIRECT("P" &amp; (ROW(R1)*3))</f>
        <v>0,719**</v>
      </c>
      <c r="T3" cm="1">
        <f t="array" aca="1" ref="T3" ca="1">INDIRECT("P" &amp; (ROW(P1)*3+1))</f>
        <v>3.5279612426856263E-6</v>
      </c>
      <c r="U3" t="str">
        <f ca="1">IF(T3&lt;0.05,"Valid","Tidak Valid")</f>
        <v>Valid</v>
      </c>
      <c r="W3" s="123">
        <v>0.84423570752804433</v>
      </c>
      <c r="X3" s="124">
        <v>13</v>
      </c>
      <c r="Y3" s="88"/>
      <c r="Z3" s="126">
        <f>W3</f>
        <v>0.84423570752804433</v>
      </c>
      <c r="AA3" t="str">
        <f>IF(Z3&gt;0.6,"Reliabel","Tidak Reliabel")</f>
        <v>Reliabel</v>
      </c>
    </row>
    <row r="4" spans="1:27" ht="23" x14ac:dyDescent="0.35">
      <c r="A4" s="150"/>
      <c r="B4" s="97" t="s">
        <v>11</v>
      </c>
      <c r="C4" s="98"/>
      <c r="D4" s="99">
        <v>6.2380221933764127E-6</v>
      </c>
      <c r="E4" s="99">
        <v>1.4532627187635752E-6</v>
      </c>
      <c r="F4" s="99">
        <v>4.9301284522494989E-3</v>
      </c>
      <c r="G4" s="99">
        <v>1.6075510426033279E-4</v>
      </c>
      <c r="H4" s="99">
        <v>5.3786233034430677E-4</v>
      </c>
      <c r="I4" s="99">
        <v>1.4323627755314681E-2</v>
      </c>
      <c r="J4" s="99">
        <v>2.0082641306519232E-2</v>
      </c>
      <c r="K4" s="99">
        <v>6.1212729168491338E-4</v>
      </c>
      <c r="L4" s="99">
        <v>2.6612603920269699E-2</v>
      </c>
      <c r="M4" s="99">
        <v>2.5375899434818529E-2</v>
      </c>
      <c r="N4" s="99">
        <v>7.2639811528468823E-2</v>
      </c>
      <c r="O4" s="99">
        <v>0.11565826619947664</v>
      </c>
      <c r="P4" s="100">
        <v>3.5279612426856263E-6</v>
      </c>
      <c r="Q4" s="88"/>
      <c r="R4" t="str" cm="1">
        <f t="array" aca="1" ref="R4" ca="1">INDIRECT("A" &amp; (ROW(R2)*3))</f>
        <v>KiP2</v>
      </c>
      <c r="S4" t="str" cm="1">
        <f t="array" aca="1" ref="S4" ca="1">INDIRECT("P" &amp; (ROW(R2)*3))</f>
        <v>0,750**</v>
      </c>
      <c r="T4" cm="1">
        <f t="array" aca="1" ref="T4" ca="1">INDIRECT("P" &amp; (ROW(P2)*3+1))</f>
        <v>7.5559982310776875E-7</v>
      </c>
      <c r="U4" t="str">
        <f t="shared" ref="U4:U15" ca="1" si="0">IF(T4&lt;0.05,"Valid","Tidak Valid")</f>
        <v>Valid</v>
      </c>
    </row>
    <row r="5" spans="1:27" x14ac:dyDescent="0.35">
      <c r="A5" s="149"/>
      <c r="B5" s="101" t="s">
        <v>12</v>
      </c>
      <c r="C5" s="102">
        <v>32</v>
      </c>
      <c r="D5" s="103">
        <v>32</v>
      </c>
      <c r="E5" s="103">
        <v>32</v>
      </c>
      <c r="F5" s="103">
        <v>32</v>
      </c>
      <c r="G5" s="103">
        <v>32</v>
      </c>
      <c r="H5" s="103">
        <v>32</v>
      </c>
      <c r="I5" s="103">
        <v>32</v>
      </c>
      <c r="J5" s="103">
        <v>32</v>
      </c>
      <c r="K5" s="103">
        <v>32</v>
      </c>
      <c r="L5" s="103">
        <v>32</v>
      </c>
      <c r="M5" s="103">
        <v>32</v>
      </c>
      <c r="N5" s="103">
        <v>32</v>
      </c>
      <c r="O5" s="103">
        <v>32</v>
      </c>
      <c r="P5" s="104">
        <v>32</v>
      </c>
      <c r="Q5" s="88"/>
      <c r="R5" t="str" cm="1">
        <f t="array" aca="1" ref="R5" ca="1">INDIRECT("A" &amp; (ROW(R3)*3))</f>
        <v>KiP3</v>
      </c>
      <c r="S5" t="str" cm="1">
        <f t="array" aca="1" ref="S5" ca="1">INDIRECT("P" &amp; (ROW(R3)*3))</f>
        <v>0,899**</v>
      </c>
      <c r="T5" cm="1">
        <f t="array" aca="1" ref="T5" ca="1">INDIRECT("P" &amp; (ROW(P3)*3+1))</f>
        <v>2.6584726799273295E-12</v>
      </c>
      <c r="U5" t="str">
        <f t="shared" ca="1" si="0"/>
        <v>Valid</v>
      </c>
    </row>
    <row r="6" spans="1:27" ht="34.5" x14ac:dyDescent="0.35">
      <c r="A6" s="149" t="s">
        <v>57</v>
      </c>
      <c r="B6" s="97" t="s">
        <v>10</v>
      </c>
      <c r="C6" s="105" t="s">
        <v>239</v>
      </c>
      <c r="D6" s="106">
        <v>1</v>
      </c>
      <c r="E6" s="107" t="s">
        <v>247</v>
      </c>
      <c r="F6" s="107" t="s">
        <v>170</v>
      </c>
      <c r="G6" s="107" t="s">
        <v>248</v>
      </c>
      <c r="H6" s="107" t="s">
        <v>249</v>
      </c>
      <c r="I6" s="107" t="s">
        <v>250</v>
      </c>
      <c r="J6" s="107" t="s">
        <v>251</v>
      </c>
      <c r="K6" s="107" t="s">
        <v>252</v>
      </c>
      <c r="L6" s="107" t="s">
        <v>198</v>
      </c>
      <c r="M6" s="107" t="s">
        <v>253</v>
      </c>
      <c r="N6" s="99">
        <v>0.32254297430886397</v>
      </c>
      <c r="O6" s="99">
        <v>0.30767707720458859</v>
      </c>
      <c r="P6" s="108" t="s">
        <v>117</v>
      </c>
      <c r="Q6" s="88"/>
      <c r="R6" t="str" cm="1">
        <f t="array" aca="1" ref="R6" ca="1">INDIRECT("A" &amp; (ROW(R4)*3))</f>
        <v>KiP4</v>
      </c>
      <c r="S6" t="str" cm="1">
        <f t="array" aca="1" ref="S6" ca="1">INDIRECT("P" &amp; (ROW(R4)*3))</f>
        <v>0,768**</v>
      </c>
      <c r="T6" cm="1">
        <f t="array" aca="1" ref="T6" ca="1">INDIRECT("P" &amp; (ROW(P4)*3+1))</f>
        <v>2.8822264346791262E-7</v>
      </c>
      <c r="U6" t="str">
        <f t="shared" ca="1" si="0"/>
        <v>Valid</v>
      </c>
    </row>
    <row r="7" spans="1:27" ht="23" x14ac:dyDescent="0.35">
      <c r="A7" s="150"/>
      <c r="B7" s="97" t="s">
        <v>11</v>
      </c>
      <c r="C7" s="109">
        <v>6.2380221933764127E-6</v>
      </c>
      <c r="D7" s="110"/>
      <c r="E7" s="99">
        <v>7.7565336336526216E-6</v>
      </c>
      <c r="F7" s="99">
        <v>1.1637287413732746E-3</v>
      </c>
      <c r="G7" s="99">
        <v>5.2521991782552117E-3</v>
      </c>
      <c r="H7" s="99">
        <v>2.5511739062043825E-4</v>
      </c>
      <c r="I7" s="99">
        <v>3.0719912616526796E-3</v>
      </c>
      <c r="J7" s="99">
        <v>1.5818239861538734E-3</v>
      </c>
      <c r="K7" s="99">
        <v>7.7760179994045681E-4</v>
      </c>
      <c r="L7" s="99">
        <v>2.3096835234843995E-2</v>
      </c>
      <c r="M7" s="99">
        <v>4.2287541863245161E-5</v>
      </c>
      <c r="N7" s="99">
        <v>7.1789419448543959E-2</v>
      </c>
      <c r="O7" s="99">
        <v>8.669901304965355E-2</v>
      </c>
      <c r="P7" s="100">
        <v>7.5559982310776875E-7</v>
      </c>
      <c r="Q7" s="88"/>
      <c r="R7" t="str" cm="1">
        <f t="array" aca="1" ref="R7" ca="1">INDIRECT("A" &amp; (ROW(R5)*3))</f>
        <v>KiP5</v>
      </c>
      <c r="S7" t="str" cm="1">
        <f t="array" aca="1" ref="S7" ca="1">INDIRECT("P" &amp; (ROW(R5)*3))</f>
        <v>0,695**</v>
      </c>
      <c r="T7" cm="1">
        <f t="array" aca="1" ref="T7" ca="1">INDIRECT("P" &amp; (ROW(P5)*3+1))</f>
        <v>1.0100804513408276E-5</v>
      </c>
      <c r="U7" t="str">
        <f t="shared" ca="1" si="0"/>
        <v>Valid</v>
      </c>
    </row>
    <row r="8" spans="1:27" x14ac:dyDescent="0.35">
      <c r="A8" s="149"/>
      <c r="B8" s="101" t="s">
        <v>12</v>
      </c>
      <c r="C8" s="102">
        <v>32</v>
      </c>
      <c r="D8" s="103">
        <v>32</v>
      </c>
      <c r="E8" s="103">
        <v>32</v>
      </c>
      <c r="F8" s="103">
        <v>32</v>
      </c>
      <c r="G8" s="103">
        <v>32</v>
      </c>
      <c r="H8" s="103">
        <v>32</v>
      </c>
      <c r="I8" s="103">
        <v>32</v>
      </c>
      <c r="J8" s="103">
        <v>32</v>
      </c>
      <c r="K8" s="103">
        <v>32</v>
      </c>
      <c r="L8" s="103">
        <v>32</v>
      </c>
      <c r="M8" s="103">
        <v>32</v>
      </c>
      <c r="N8" s="103">
        <v>32</v>
      </c>
      <c r="O8" s="103">
        <v>32</v>
      </c>
      <c r="P8" s="104">
        <v>32</v>
      </c>
      <c r="Q8" s="88"/>
      <c r="R8" t="str" cm="1">
        <f t="array" aca="1" ref="R8" ca="1">INDIRECT("A" &amp; (ROW(R6)*3))</f>
        <v>KiP6</v>
      </c>
      <c r="S8" t="str" cm="1">
        <f t="array" aca="1" ref="S8" ca="1">INDIRECT("P" &amp; (ROW(R6)*3))</f>
        <v>0,760**</v>
      </c>
      <c r="T8" cm="1">
        <f t="array" aca="1" ref="T8" ca="1">INDIRECT("P" &amp; (ROW(P6)*3+1))</f>
        <v>4.5009778768378546E-7</v>
      </c>
      <c r="U8" t="str">
        <f t="shared" ca="1" si="0"/>
        <v>Valid</v>
      </c>
    </row>
    <row r="9" spans="1:27" ht="34.5" x14ac:dyDescent="0.35">
      <c r="A9" s="149" t="s">
        <v>58</v>
      </c>
      <c r="B9" s="97" t="s">
        <v>10</v>
      </c>
      <c r="C9" s="105" t="s">
        <v>167</v>
      </c>
      <c r="D9" s="107" t="s">
        <v>247</v>
      </c>
      <c r="E9" s="106">
        <v>1</v>
      </c>
      <c r="F9" s="107" t="s">
        <v>139</v>
      </c>
      <c r="G9" s="107" t="s">
        <v>108</v>
      </c>
      <c r="H9" s="107" t="s">
        <v>169</v>
      </c>
      <c r="I9" s="99">
        <v>-0.31277162108561218</v>
      </c>
      <c r="J9" s="107" t="s">
        <v>254</v>
      </c>
      <c r="K9" s="107" t="s">
        <v>201</v>
      </c>
      <c r="L9" s="107" t="s">
        <v>249</v>
      </c>
      <c r="M9" s="107" t="s">
        <v>186</v>
      </c>
      <c r="N9" s="107" t="s">
        <v>200</v>
      </c>
      <c r="O9" s="107" t="s">
        <v>92</v>
      </c>
      <c r="P9" s="108" t="s">
        <v>255</v>
      </c>
      <c r="Q9" s="88"/>
      <c r="R9" t="str" cm="1">
        <f t="array" aca="1" ref="R9" ca="1">INDIRECT("A" &amp; (ROW(R7)*3))</f>
        <v>KiP7</v>
      </c>
      <c r="S9" cm="1">
        <f t="array" aca="1" ref="S9" ca="1">INDIRECT("P" &amp; (ROW(R7)*3))</f>
        <v>-0.26157486174787264</v>
      </c>
      <c r="T9" cm="1">
        <f t="array" aca="1" ref="T9" ca="1">INDIRECT("P" &amp; (ROW(P7)*3+1))</f>
        <v>0.14813864990348977</v>
      </c>
      <c r="U9" t="str">
        <f t="shared" ca="1" si="0"/>
        <v>Tidak Valid</v>
      </c>
    </row>
    <row r="10" spans="1:27" ht="23" x14ac:dyDescent="0.35">
      <c r="A10" s="150"/>
      <c r="B10" s="97" t="s">
        <v>11</v>
      </c>
      <c r="C10" s="109">
        <v>1.4532627187635752E-6</v>
      </c>
      <c r="D10" s="99">
        <v>7.7565336336526216E-6</v>
      </c>
      <c r="E10" s="110"/>
      <c r="F10" s="99">
        <v>1.2096558290381853E-6</v>
      </c>
      <c r="G10" s="99">
        <v>1.4037498089474506E-3</v>
      </c>
      <c r="H10" s="99">
        <v>3.2047346483210576E-6</v>
      </c>
      <c r="I10" s="99">
        <v>8.1343974035035335E-2</v>
      </c>
      <c r="J10" s="99">
        <v>1.5458094969551422E-3</v>
      </c>
      <c r="K10" s="99">
        <v>6.1498023598279541E-6</v>
      </c>
      <c r="L10" s="99">
        <v>2.5014965216005347E-4</v>
      </c>
      <c r="M10" s="99">
        <v>1.3384106929848053E-3</v>
      </c>
      <c r="N10" s="99">
        <v>2.2178970616454712E-3</v>
      </c>
      <c r="O10" s="99">
        <v>3.6357370047667157E-3</v>
      </c>
      <c r="P10" s="100">
        <v>2.6584726799273295E-12</v>
      </c>
      <c r="Q10" s="88"/>
      <c r="R10" t="str" cm="1">
        <f t="array" aca="1" ref="R10" ca="1">INDIRECT("A" &amp; (ROW(R8)*3))</f>
        <v>KiP8</v>
      </c>
      <c r="S10" t="str" cm="1">
        <f t="array" aca="1" ref="S10" ca="1">INDIRECT("P" &amp; (ROW(R8)*3))</f>
        <v>0,674**</v>
      </c>
      <c r="T10" cm="1">
        <f t="array" aca="1" ref="T10" ca="1">INDIRECT("P" &amp; (ROW(P8)*3+1))</f>
        <v>2.3806599304733375E-5</v>
      </c>
      <c r="U10" t="str">
        <f t="shared" ca="1" si="0"/>
        <v>Valid</v>
      </c>
    </row>
    <row r="11" spans="1:27" x14ac:dyDescent="0.35">
      <c r="A11" s="149"/>
      <c r="B11" s="101" t="s">
        <v>12</v>
      </c>
      <c r="C11" s="102">
        <v>32</v>
      </c>
      <c r="D11" s="103">
        <v>32</v>
      </c>
      <c r="E11" s="103">
        <v>32</v>
      </c>
      <c r="F11" s="103">
        <v>32</v>
      </c>
      <c r="G11" s="103">
        <v>32</v>
      </c>
      <c r="H11" s="103">
        <v>32</v>
      </c>
      <c r="I11" s="103">
        <v>32</v>
      </c>
      <c r="J11" s="103">
        <v>32</v>
      </c>
      <c r="K11" s="103">
        <v>32</v>
      </c>
      <c r="L11" s="103">
        <v>32</v>
      </c>
      <c r="M11" s="103">
        <v>32</v>
      </c>
      <c r="N11" s="103">
        <v>32</v>
      </c>
      <c r="O11" s="103">
        <v>32</v>
      </c>
      <c r="P11" s="104">
        <v>32</v>
      </c>
      <c r="Q11" s="88"/>
      <c r="R11" t="str" cm="1">
        <f t="array" aca="1" ref="R11" ca="1">INDIRECT("A" &amp; (ROW(R9)*3))</f>
        <v>KiP9</v>
      </c>
      <c r="S11" t="str" cm="1">
        <f t="array" aca="1" ref="S11" ca="1">INDIRECT("P" &amp; (ROW(R9)*3))</f>
        <v>0,745**</v>
      </c>
      <c r="T11" cm="1">
        <f t="array" aca="1" ref="T11" ca="1">INDIRECT("P" &amp; (ROW(P9)*3+1))</f>
        <v>1.0222938093810609E-6</v>
      </c>
      <c r="U11" t="str">
        <f t="shared" ca="1" si="0"/>
        <v>Valid</v>
      </c>
    </row>
    <row r="12" spans="1:27" ht="34.5" x14ac:dyDescent="0.35">
      <c r="A12" s="149" t="s">
        <v>59</v>
      </c>
      <c r="B12" s="97" t="s">
        <v>10</v>
      </c>
      <c r="C12" s="105" t="s">
        <v>240</v>
      </c>
      <c r="D12" s="107" t="s">
        <v>170</v>
      </c>
      <c r="E12" s="107" t="s">
        <v>139</v>
      </c>
      <c r="F12" s="106">
        <v>1</v>
      </c>
      <c r="G12" s="107" t="s">
        <v>256</v>
      </c>
      <c r="H12" s="107" t="s">
        <v>257</v>
      </c>
      <c r="I12" s="107" t="s">
        <v>258</v>
      </c>
      <c r="J12" s="107" t="s">
        <v>259</v>
      </c>
      <c r="K12" s="107" t="s">
        <v>260</v>
      </c>
      <c r="L12" s="107" t="s">
        <v>261</v>
      </c>
      <c r="M12" s="107" t="s">
        <v>144</v>
      </c>
      <c r="N12" s="107" t="s">
        <v>262</v>
      </c>
      <c r="O12" s="107" t="s">
        <v>181</v>
      </c>
      <c r="P12" s="108" t="s">
        <v>263</v>
      </c>
      <c r="Q12" s="88"/>
      <c r="R12" t="str" cm="1">
        <f t="array" aca="1" ref="R12" ca="1">INDIRECT("A" &amp; (ROW(R10)*3))</f>
        <v>KiP10</v>
      </c>
      <c r="S12" t="str" cm="1">
        <f t="array" aca="1" ref="S12" ca="1">INDIRECT("P" &amp; (ROW(R10)*3))</f>
        <v>0,696**</v>
      </c>
      <c r="T12" cm="1">
        <f t="array" aca="1" ref="T12" ca="1">INDIRECT("P" &amp; (ROW(P10)*3+1))</f>
        <v>9.8443900060094272E-6</v>
      </c>
      <c r="U12" t="str">
        <f t="shared" ca="1" si="0"/>
        <v>Valid</v>
      </c>
    </row>
    <row r="13" spans="1:27" ht="23" x14ac:dyDescent="0.35">
      <c r="A13" s="150"/>
      <c r="B13" s="97" t="s">
        <v>11</v>
      </c>
      <c r="C13" s="109">
        <v>4.9301284522494989E-3</v>
      </c>
      <c r="D13" s="99">
        <v>1.1637287413732746E-3</v>
      </c>
      <c r="E13" s="99">
        <v>1.2096558290381853E-6</v>
      </c>
      <c r="F13" s="110"/>
      <c r="G13" s="99">
        <v>4.586119290170004E-3</v>
      </c>
      <c r="H13" s="99">
        <v>2.5467846656620535E-3</v>
      </c>
      <c r="I13" s="99">
        <v>4.8757894957990641E-2</v>
      </c>
      <c r="J13" s="99">
        <v>1.7647597978795074E-2</v>
      </c>
      <c r="K13" s="99">
        <v>8.5581771960188202E-5</v>
      </c>
      <c r="L13" s="99">
        <v>2.6099249812228136E-4</v>
      </c>
      <c r="M13" s="99">
        <v>2.2221852577564361E-2</v>
      </c>
      <c r="N13" s="99">
        <v>6.4887643667073879E-4</v>
      </c>
      <c r="O13" s="99">
        <v>2.6004237994485535E-3</v>
      </c>
      <c r="P13" s="100">
        <v>2.8822264346791262E-7</v>
      </c>
      <c r="Q13" s="88"/>
      <c r="R13" t="str" cm="1">
        <f t="array" aca="1" ref="R13" ca="1">INDIRECT("A" &amp; (ROW(R11)*3))</f>
        <v>KiP11</v>
      </c>
      <c r="S13" t="str" cm="1">
        <f t="array" aca="1" ref="S13" ca="1">INDIRECT("P" &amp; (ROW(R11)*3))</f>
        <v>0,674**</v>
      </c>
      <c r="T13" cm="1">
        <f t="array" aca="1" ref="T13" ca="1">INDIRECT("P" &amp; (ROW(P11)*3+1))</f>
        <v>2.3504800703355298E-5</v>
      </c>
      <c r="U13" t="str">
        <f t="shared" ca="1" si="0"/>
        <v>Valid</v>
      </c>
    </row>
    <row r="14" spans="1:27" x14ac:dyDescent="0.35">
      <c r="A14" s="149"/>
      <c r="B14" s="101" t="s">
        <v>12</v>
      </c>
      <c r="C14" s="102">
        <v>32</v>
      </c>
      <c r="D14" s="103">
        <v>32</v>
      </c>
      <c r="E14" s="103">
        <v>32</v>
      </c>
      <c r="F14" s="103">
        <v>32</v>
      </c>
      <c r="G14" s="103">
        <v>32</v>
      </c>
      <c r="H14" s="103">
        <v>32</v>
      </c>
      <c r="I14" s="103">
        <v>32</v>
      </c>
      <c r="J14" s="103">
        <v>32</v>
      </c>
      <c r="K14" s="103">
        <v>32</v>
      </c>
      <c r="L14" s="103">
        <v>32</v>
      </c>
      <c r="M14" s="103">
        <v>32</v>
      </c>
      <c r="N14" s="103">
        <v>32</v>
      </c>
      <c r="O14" s="103">
        <v>32</v>
      </c>
      <c r="P14" s="104">
        <v>32</v>
      </c>
      <c r="Q14" s="88"/>
      <c r="R14" t="str" cm="1">
        <f t="array" aca="1" ref="R14" ca="1">INDIRECT("A" &amp; (ROW(R12)*3))</f>
        <v>KiP12</v>
      </c>
      <c r="S14" t="str" cm="1">
        <f t="array" aca="1" ref="S14" ca="1">INDIRECT("P" &amp; (ROW(R12)*3))</f>
        <v>0,605**</v>
      </c>
      <c r="T14" cm="1">
        <f t="array" aca="1" ref="T14" ca="1">INDIRECT("P" &amp; (ROW(P12)*3+1))</f>
        <v>2.478304045758716E-4</v>
      </c>
      <c r="U14" t="str">
        <f t="shared" ca="1" si="0"/>
        <v>Valid</v>
      </c>
    </row>
    <row r="15" spans="1:27" ht="34.5" x14ac:dyDescent="0.35">
      <c r="A15" s="149" t="s">
        <v>60</v>
      </c>
      <c r="B15" s="97" t="s">
        <v>10</v>
      </c>
      <c r="C15" s="105" t="s">
        <v>133</v>
      </c>
      <c r="D15" s="107" t="s">
        <v>248</v>
      </c>
      <c r="E15" s="107" t="s">
        <v>108</v>
      </c>
      <c r="F15" s="107" t="s">
        <v>256</v>
      </c>
      <c r="G15" s="106">
        <v>1</v>
      </c>
      <c r="H15" s="107" t="s">
        <v>264</v>
      </c>
      <c r="I15" s="99">
        <v>-0.12543630150106361</v>
      </c>
      <c r="J15" s="107" t="s">
        <v>209</v>
      </c>
      <c r="K15" s="107" t="s">
        <v>265</v>
      </c>
      <c r="L15" s="107" t="s">
        <v>155</v>
      </c>
      <c r="M15" s="99">
        <v>0.33250099694068813</v>
      </c>
      <c r="N15" s="99">
        <v>0.25087260300212721</v>
      </c>
      <c r="O15" s="99">
        <v>0.24232015747572203</v>
      </c>
      <c r="P15" s="108" t="s">
        <v>266</v>
      </c>
      <c r="Q15" s="88"/>
      <c r="R15" t="str" cm="1">
        <f t="array" aca="1" ref="R15" ca="1">INDIRECT("A" &amp; (ROW(R13)*3))</f>
        <v>KiP13</v>
      </c>
      <c r="S15" t="str" cm="1">
        <f t="array" aca="1" ref="S15" ca="1">INDIRECT("P" &amp; (ROW(R13)*3))</f>
        <v>0,625**</v>
      </c>
      <c r="T15" cm="1">
        <f t="array" aca="1" ref="T15" ca="1">INDIRECT("P" &amp; (ROW(P13)*3+1))</f>
        <v>1.2945653062149923E-4</v>
      </c>
      <c r="U15" t="str">
        <f t="shared" ca="1" si="0"/>
        <v>Valid</v>
      </c>
    </row>
    <row r="16" spans="1:27" ht="23" x14ac:dyDescent="0.35">
      <c r="A16" s="150"/>
      <c r="B16" s="97" t="s">
        <v>11</v>
      </c>
      <c r="C16" s="109">
        <v>1.6075510426033279E-4</v>
      </c>
      <c r="D16" s="99">
        <v>5.2521991782552117E-3</v>
      </c>
      <c r="E16" s="99">
        <v>1.4037498089474506E-3</v>
      </c>
      <c r="F16" s="99">
        <v>4.586119290170004E-3</v>
      </c>
      <c r="G16" s="110"/>
      <c r="H16" s="99">
        <v>5.5519695482358503E-3</v>
      </c>
      <c r="I16" s="99">
        <v>0.49394154181973238</v>
      </c>
      <c r="J16" s="99">
        <v>1.5870172563583369E-2</v>
      </c>
      <c r="K16" s="99">
        <v>1.7295698086116362E-2</v>
      </c>
      <c r="L16" s="99">
        <v>3.9582349262402708E-3</v>
      </c>
      <c r="M16" s="99">
        <v>6.2973812006993701E-2</v>
      </c>
      <c r="N16" s="99">
        <v>0.16606696079900335</v>
      </c>
      <c r="O16" s="99">
        <v>0.18146797823169653</v>
      </c>
      <c r="P16" s="100">
        <v>1.0100804513408276E-5</v>
      </c>
      <c r="Q16" s="88"/>
    </row>
    <row r="17" spans="1:17" x14ac:dyDescent="0.35">
      <c r="A17" s="149"/>
      <c r="B17" s="101" t="s">
        <v>12</v>
      </c>
      <c r="C17" s="102">
        <v>32</v>
      </c>
      <c r="D17" s="103">
        <v>32</v>
      </c>
      <c r="E17" s="103">
        <v>32</v>
      </c>
      <c r="F17" s="103">
        <v>32</v>
      </c>
      <c r="G17" s="103">
        <v>32</v>
      </c>
      <c r="H17" s="103">
        <v>32</v>
      </c>
      <c r="I17" s="103">
        <v>32</v>
      </c>
      <c r="J17" s="103">
        <v>32</v>
      </c>
      <c r="K17" s="103">
        <v>32</v>
      </c>
      <c r="L17" s="103">
        <v>32</v>
      </c>
      <c r="M17" s="103">
        <v>32</v>
      </c>
      <c r="N17" s="103">
        <v>32</v>
      </c>
      <c r="O17" s="103">
        <v>32</v>
      </c>
      <c r="P17" s="104">
        <v>32</v>
      </c>
      <c r="Q17" s="88"/>
    </row>
    <row r="18" spans="1:17" ht="34.5" x14ac:dyDescent="0.35">
      <c r="A18" s="149" t="s">
        <v>61</v>
      </c>
      <c r="B18" s="97" t="s">
        <v>10</v>
      </c>
      <c r="C18" s="105" t="s">
        <v>241</v>
      </c>
      <c r="D18" s="107" t="s">
        <v>249</v>
      </c>
      <c r="E18" s="107" t="s">
        <v>169</v>
      </c>
      <c r="F18" s="107" t="s">
        <v>257</v>
      </c>
      <c r="G18" s="107" t="s">
        <v>264</v>
      </c>
      <c r="H18" s="106">
        <v>1</v>
      </c>
      <c r="I18" s="99">
        <v>-0.28352398856187133</v>
      </c>
      <c r="J18" s="99">
        <v>0.3371263881468351</v>
      </c>
      <c r="K18" s="107" t="s">
        <v>267</v>
      </c>
      <c r="L18" s="107" t="s">
        <v>268</v>
      </c>
      <c r="M18" s="107" t="s">
        <v>269</v>
      </c>
      <c r="N18" s="99">
        <v>0.34022878627424563</v>
      </c>
      <c r="O18" s="99">
        <v>0.32148598476678558</v>
      </c>
      <c r="P18" s="108" t="s">
        <v>270</v>
      </c>
      <c r="Q18" s="88"/>
    </row>
    <row r="19" spans="1:17" ht="23" x14ac:dyDescent="0.35">
      <c r="A19" s="150"/>
      <c r="B19" s="97" t="s">
        <v>11</v>
      </c>
      <c r="C19" s="109">
        <v>5.3786233034430677E-4</v>
      </c>
      <c r="D19" s="99">
        <v>2.5511739062043825E-4</v>
      </c>
      <c r="E19" s="99">
        <v>3.2047346483210576E-6</v>
      </c>
      <c r="F19" s="99">
        <v>2.5467846656620535E-3</v>
      </c>
      <c r="G19" s="99">
        <v>5.5519695482358503E-3</v>
      </c>
      <c r="H19" s="110"/>
      <c r="I19" s="99">
        <v>0.11583290778953789</v>
      </c>
      <c r="J19" s="99">
        <v>5.9179317504477684E-2</v>
      </c>
      <c r="K19" s="99">
        <v>3.1377095851393852E-2</v>
      </c>
      <c r="L19" s="99">
        <v>4.150500364369686E-3</v>
      </c>
      <c r="M19" s="99">
        <v>1.3284656432235135E-3</v>
      </c>
      <c r="N19" s="99">
        <v>5.6736775232969029E-2</v>
      </c>
      <c r="O19" s="99">
        <v>7.2778762768885535E-2</v>
      </c>
      <c r="P19" s="100">
        <v>4.5009778768378546E-7</v>
      </c>
      <c r="Q19" s="88"/>
    </row>
    <row r="20" spans="1:17" x14ac:dyDescent="0.35">
      <c r="A20" s="149"/>
      <c r="B20" s="101" t="s">
        <v>12</v>
      </c>
      <c r="C20" s="102">
        <v>32</v>
      </c>
      <c r="D20" s="103">
        <v>32</v>
      </c>
      <c r="E20" s="103">
        <v>32</v>
      </c>
      <c r="F20" s="103">
        <v>32</v>
      </c>
      <c r="G20" s="103">
        <v>32</v>
      </c>
      <c r="H20" s="103">
        <v>32</v>
      </c>
      <c r="I20" s="103">
        <v>32</v>
      </c>
      <c r="J20" s="103">
        <v>32</v>
      </c>
      <c r="K20" s="103">
        <v>32</v>
      </c>
      <c r="L20" s="103">
        <v>32</v>
      </c>
      <c r="M20" s="103">
        <v>32</v>
      </c>
      <c r="N20" s="103">
        <v>32</v>
      </c>
      <c r="O20" s="103">
        <v>32</v>
      </c>
      <c r="P20" s="104">
        <v>32</v>
      </c>
      <c r="Q20" s="88"/>
    </row>
    <row r="21" spans="1:17" ht="34.5" x14ac:dyDescent="0.35">
      <c r="A21" s="149" t="s">
        <v>62</v>
      </c>
      <c r="B21" s="97" t="s">
        <v>10</v>
      </c>
      <c r="C21" s="105" t="s">
        <v>242</v>
      </c>
      <c r="D21" s="107" t="s">
        <v>250</v>
      </c>
      <c r="E21" s="99">
        <v>-0.31277162108561218</v>
      </c>
      <c r="F21" s="107" t="s">
        <v>258</v>
      </c>
      <c r="G21" s="99">
        <v>-0.12543630150106361</v>
      </c>
      <c r="H21" s="99">
        <v>-0.28352398856187133</v>
      </c>
      <c r="I21" s="106">
        <v>1</v>
      </c>
      <c r="J21" s="99">
        <v>-0.13310347641241707</v>
      </c>
      <c r="K21" s="99">
        <v>-0.22979399584857041</v>
      </c>
      <c r="L21" s="107" t="s">
        <v>271</v>
      </c>
      <c r="M21" s="99">
        <v>-0.34361648557167118</v>
      </c>
      <c r="N21" s="107" t="s">
        <v>272</v>
      </c>
      <c r="O21" s="99">
        <v>-0.31497039417435602</v>
      </c>
      <c r="P21" s="100">
        <v>-0.26157486174787264</v>
      </c>
      <c r="Q21" s="88"/>
    </row>
    <row r="22" spans="1:17" ht="23" x14ac:dyDescent="0.35">
      <c r="A22" s="150"/>
      <c r="B22" s="97" t="s">
        <v>11</v>
      </c>
      <c r="C22" s="109">
        <v>1.4323627755314681E-2</v>
      </c>
      <c r="D22" s="99">
        <v>3.0719912616526796E-3</v>
      </c>
      <c r="E22" s="99">
        <v>8.1343974035035335E-2</v>
      </c>
      <c r="F22" s="99">
        <v>4.8757894957990641E-2</v>
      </c>
      <c r="G22" s="99">
        <v>0.49394154181973238</v>
      </c>
      <c r="H22" s="99">
        <v>0.11583290778953789</v>
      </c>
      <c r="I22" s="110"/>
      <c r="J22" s="99">
        <v>0.4676969959969568</v>
      </c>
      <c r="K22" s="99">
        <v>0.20579771100780792</v>
      </c>
      <c r="L22" s="99">
        <v>3.2936305925637566E-2</v>
      </c>
      <c r="M22" s="99">
        <v>5.4161253549054579E-2</v>
      </c>
      <c r="N22" s="99">
        <v>3.4448191810228533E-2</v>
      </c>
      <c r="O22" s="99">
        <v>7.9113040369201151E-2</v>
      </c>
      <c r="P22" s="100">
        <v>0.14813864990348977</v>
      </c>
      <c r="Q22" s="88"/>
    </row>
    <row r="23" spans="1:17" x14ac:dyDescent="0.35">
      <c r="A23" s="149"/>
      <c r="B23" s="101" t="s">
        <v>12</v>
      </c>
      <c r="C23" s="102">
        <v>32</v>
      </c>
      <c r="D23" s="103">
        <v>32</v>
      </c>
      <c r="E23" s="103">
        <v>32</v>
      </c>
      <c r="F23" s="103">
        <v>32</v>
      </c>
      <c r="G23" s="103">
        <v>32</v>
      </c>
      <c r="H23" s="103">
        <v>32</v>
      </c>
      <c r="I23" s="103">
        <v>32</v>
      </c>
      <c r="J23" s="103">
        <v>32</v>
      </c>
      <c r="K23" s="103">
        <v>32</v>
      </c>
      <c r="L23" s="103">
        <v>32</v>
      </c>
      <c r="M23" s="103">
        <v>32</v>
      </c>
      <c r="N23" s="103">
        <v>32</v>
      </c>
      <c r="O23" s="103">
        <v>32</v>
      </c>
      <c r="P23" s="104">
        <v>32</v>
      </c>
      <c r="Q23" s="88"/>
    </row>
    <row r="24" spans="1:17" ht="34.5" x14ac:dyDescent="0.35">
      <c r="A24" s="149" t="s">
        <v>63</v>
      </c>
      <c r="B24" s="97" t="s">
        <v>10</v>
      </c>
      <c r="C24" s="105" t="s">
        <v>243</v>
      </c>
      <c r="D24" s="107" t="s">
        <v>251</v>
      </c>
      <c r="E24" s="107" t="s">
        <v>254</v>
      </c>
      <c r="F24" s="107" t="s">
        <v>259</v>
      </c>
      <c r="G24" s="107" t="s">
        <v>209</v>
      </c>
      <c r="H24" s="99">
        <v>0.3371263881468351</v>
      </c>
      <c r="I24" s="99">
        <v>-0.13310347641241707</v>
      </c>
      <c r="J24" s="106">
        <v>1</v>
      </c>
      <c r="K24" s="107" t="s">
        <v>273</v>
      </c>
      <c r="L24" s="107" t="s">
        <v>81</v>
      </c>
      <c r="M24" s="99">
        <v>0.3441130813137448</v>
      </c>
      <c r="N24" s="99">
        <v>0.26620695282483414</v>
      </c>
      <c r="O24" s="107" t="s">
        <v>81</v>
      </c>
      <c r="P24" s="108" t="s">
        <v>237</v>
      </c>
      <c r="Q24" s="88"/>
    </row>
    <row r="25" spans="1:17" ht="23" x14ac:dyDescent="0.35">
      <c r="A25" s="150"/>
      <c r="B25" s="97" t="s">
        <v>11</v>
      </c>
      <c r="C25" s="109">
        <v>2.0082641306519232E-2</v>
      </c>
      <c r="D25" s="99">
        <v>1.5818239861538734E-3</v>
      </c>
      <c r="E25" s="99">
        <v>1.5458094969551422E-3</v>
      </c>
      <c r="F25" s="99">
        <v>1.7647597978795074E-2</v>
      </c>
      <c r="G25" s="99">
        <v>1.5870172563583369E-2</v>
      </c>
      <c r="H25" s="99">
        <v>5.9179317504477684E-2</v>
      </c>
      <c r="I25" s="99">
        <v>0.4676969959969568</v>
      </c>
      <c r="J25" s="110"/>
      <c r="K25" s="99">
        <v>1.4229813963829472E-7</v>
      </c>
      <c r="L25" s="99">
        <v>3.7720487934489656E-2</v>
      </c>
      <c r="M25" s="99">
        <v>5.379162076757954E-2</v>
      </c>
      <c r="N25" s="99">
        <v>0.14083070629410435</v>
      </c>
      <c r="O25" s="99">
        <v>3.7720487934489656E-2</v>
      </c>
      <c r="P25" s="100">
        <v>2.3806599304733375E-5</v>
      </c>
      <c r="Q25" s="88"/>
    </row>
    <row r="26" spans="1:17" x14ac:dyDescent="0.35">
      <c r="A26" s="149"/>
      <c r="B26" s="101" t="s">
        <v>12</v>
      </c>
      <c r="C26" s="102">
        <v>32</v>
      </c>
      <c r="D26" s="103">
        <v>32</v>
      </c>
      <c r="E26" s="103">
        <v>32</v>
      </c>
      <c r="F26" s="103">
        <v>32</v>
      </c>
      <c r="G26" s="103">
        <v>32</v>
      </c>
      <c r="H26" s="103">
        <v>32</v>
      </c>
      <c r="I26" s="103">
        <v>32</v>
      </c>
      <c r="J26" s="103">
        <v>32</v>
      </c>
      <c r="K26" s="103">
        <v>32</v>
      </c>
      <c r="L26" s="103">
        <v>32</v>
      </c>
      <c r="M26" s="103">
        <v>32</v>
      </c>
      <c r="N26" s="103">
        <v>32</v>
      </c>
      <c r="O26" s="103">
        <v>32</v>
      </c>
      <c r="P26" s="104">
        <v>32</v>
      </c>
      <c r="Q26" s="88"/>
    </row>
    <row r="27" spans="1:17" ht="34.5" x14ac:dyDescent="0.35">
      <c r="A27" s="149" t="s">
        <v>64</v>
      </c>
      <c r="B27" s="97" t="s">
        <v>10</v>
      </c>
      <c r="C27" s="105" t="s">
        <v>78</v>
      </c>
      <c r="D27" s="107" t="s">
        <v>252</v>
      </c>
      <c r="E27" s="107" t="s">
        <v>201</v>
      </c>
      <c r="F27" s="107" t="s">
        <v>260</v>
      </c>
      <c r="G27" s="107" t="s">
        <v>265</v>
      </c>
      <c r="H27" s="107" t="s">
        <v>267</v>
      </c>
      <c r="I27" s="99">
        <v>-0.22979399584857041</v>
      </c>
      <c r="J27" s="107" t="s">
        <v>273</v>
      </c>
      <c r="K27" s="106">
        <v>1</v>
      </c>
      <c r="L27" s="99">
        <v>0.34017803562122539</v>
      </c>
      <c r="M27" s="99">
        <v>0.25098319528739893</v>
      </c>
      <c r="N27" s="107" t="s">
        <v>166</v>
      </c>
      <c r="O27" s="107" t="s">
        <v>130</v>
      </c>
      <c r="P27" s="108" t="s">
        <v>238</v>
      </c>
      <c r="Q27" s="88"/>
    </row>
    <row r="28" spans="1:17" ht="23" x14ac:dyDescent="0.35">
      <c r="A28" s="150"/>
      <c r="B28" s="97" t="s">
        <v>11</v>
      </c>
      <c r="C28" s="109">
        <v>6.1212729168491338E-4</v>
      </c>
      <c r="D28" s="99">
        <v>7.7760179994045681E-4</v>
      </c>
      <c r="E28" s="99">
        <v>6.1498023598279541E-6</v>
      </c>
      <c r="F28" s="99">
        <v>8.5581771960188202E-5</v>
      </c>
      <c r="G28" s="99">
        <v>1.7295698086116362E-2</v>
      </c>
      <c r="H28" s="99">
        <v>3.1377095851393852E-2</v>
      </c>
      <c r="I28" s="99">
        <v>0.20579771100780792</v>
      </c>
      <c r="J28" s="99">
        <v>1.4229813963829472E-7</v>
      </c>
      <c r="K28" s="110"/>
      <c r="L28" s="99">
        <v>5.6776080872355937E-2</v>
      </c>
      <c r="M28" s="99">
        <v>0.16587412410180077</v>
      </c>
      <c r="N28" s="99">
        <v>2.4447679680962855E-3</v>
      </c>
      <c r="O28" s="99">
        <v>8.7189110301572059E-3</v>
      </c>
      <c r="P28" s="100">
        <v>1.0222938093810609E-6</v>
      </c>
      <c r="Q28" s="88"/>
    </row>
    <row r="29" spans="1:17" x14ac:dyDescent="0.35">
      <c r="A29" s="149"/>
      <c r="B29" s="101" t="s">
        <v>12</v>
      </c>
      <c r="C29" s="102">
        <v>32</v>
      </c>
      <c r="D29" s="103">
        <v>32</v>
      </c>
      <c r="E29" s="103">
        <v>32</v>
      </c>
      <c r="F29" s="103">
        <v>32</v>
      </c>
      <c r="G29" s="103">
        <v>32</v>
      </c>
      <c r="H29" s="103">
        <v>32</v>
      </c>
      <c r="I29" s="103">
        <v>32</v>
      </c>
      <c r="J29" s="103">
        <v>32</v>
      </c>
      <c r="K29" s="103">
        <v>32</v>
      </c>
      <c r="L29" s="103">
        <v>32</v>
      </c>
      <c r="M29" s="103">
        <v>32</v>
      </c>
      <c r="N29" s="103">
        <v>32</v>
      </c>
      <c r="O29" s="103">
        <v>32</v>
      </c>
      <c r="P29" s="104">
        <v>32</v>
      </c>
      <c r="Q29" s="88"/>
    </row>
    <row r="30" spans="1:17" ht="34.5" x14ac:dyDescent="0.35">
      <c r="A30" s="149" t="s">
        <v>65</v>
      </c>
      <c r="B30" s="97" t="s">
        <v>10</v>
      </c>
      <c r="C30" s="105" t="s">
        <v>244</v>
      </c>
      <c r="D30" s="107" t="s">
        <v>198</v>
      </c>
      <c r="E30" s="107" t="s">
        <v>249</v>
      </c>
      <c r="F30" s="107" t="s">
        <v>261</v>
      </c>
      <c r="G30" s="107" t="s">
        <v>155</v>
      </c>
      <c r="H30" s="107" t="s">
        <v>268</v>
      </c>
      <c r="I30" s="107" t="s">
        <v>271</v>
      </c>
      <c r="J30" s="107" t="s">
        <v>81</v>
      </c>
      <c r="K30" s="99">
        <v>0.34017803562122539</v>
      </c>
      <c r="L30" s="106">
        <v>1</v>
      </c>
      <c r="M30" s="107" t="s">
        <v>231</v>
      </c>
      <c r="N30" s="107" t="s">
        <v>101</v>
      </c>
      <c r="O30" s="107" t="s">
        <v>133</v>
      </c>
      <c r="P30" s="108" t="s">
        <v>274</v>
      </c>
      <c r="Q30" s="88"/>
    </row>
    <row r="31" spans="1:17" ht="23" x14ac:dyDescent="0.35">
      <c r="A31" s="150"/>
      <c r="B31" s="97" t="s">
        <v>11</v>
      </c>
      <c r="C31" s="109">
        <v>2.6612603920269699E-2</v>
      </c>
      <c r="D31" s="99">
        <v>2.3096835234843995E-2</v>
      </c>
      <c r="E31" s="99">
        <v>2.5014965216005347E-4</v>
      </c>
      <c r="F31" s="99">
        <v>2.6099249812228136E-4</v>
      </c>
      <c r="G31" s="99">
        <v>3.9582349262402708E-3</v>
      </c>
      <c r="H31" s="99">
        <v>4.150500364369686E-3</v>
      </c>
      <c r="I31" s="99">
        <v>3.2936305925637566E-2</v>
      </c>
      <c r="J31" s="99">
        <v>3.7720487934489656E-2</v>
      </c>
      <c r="K31" s="99">
        <v>5.6776080872355937E-2</v>
      </c>
      <c r="L31" s="110"/>
      <c r="M31" s="99">
        <v>5.7899872273368331E-5</v>
      </c>
      <c r="N31" s="99">
        <v>3.2743293757202738E-3</v>
      </c>
      <c r="O31" s="99">
        <v>1.5858733174501218E-4</v>
      </c>
      <c r="P31" s="100">
        <v>9.8443900060094272E-6</v>
      </c>
      <c r="Q31" s="88"/>
    </row>
    <row r="32" spans="1:17" x14ac:dyDescent="0.35">
      <c r="A32" s="149"/>
      <c r="B32" s="101" t="s">
        <v>12</v>
      </c>
      <c r="C32" s="102">
        <v>32</v>
      </c>
      <c r="D32" s="103">
        <v>32</v>
      </c>
      <c r="E32" s="103">
        <v>32</v>
      </c>
      <c r="F32" s="103">
        <v>32</v>
      </c>
      <c r="G32" s="103">
        <v>32</v>
      </c>
      <c r="H32" s="103">
        <v>32</v>
      </c>
      <c r="I32" s="103">
        <v>32</v>
      </c>
      <c r="J32" s="103">
        <v>32</v>
      </c>
      <c r="K32" s="103">
        <v>32</v>
      </c>
      <c r="L32" s="103">
        <v>32</v>
      </c>
      <c r="M32" s="103">
        <v>32</v>
      </c>
      <c r="N32" s="103">
        <v>32</v>
      </c>
      <c r="O32" s="103">
        <v>32</v>
      </c>
      <c r="P32" s="104">
        <v>32</v>
      </c>
      <c r="Q32" s="88"/>
    </row>
    <row r="33" spans="1:17" ht="34.5" x14ac:dyDescent="0.35">
      <c r="A33" s="149" t="s">
        <v>66</v>
      </c>
      <c r="B33" s="97" t="s">
        <v>10</v>
      </c>
      <c r="C33" s="105" t="s">
        <v>245</v>
      </c>
      <c r="D33" s="107" t="s">
        <v>253</v>
      </c>
      <c r="E33" s="107" t="s">
        <v>186</v>
      </c>
      <c r="F33" s="107" t="s">
        <v>144</v>
      </c>
      <c r="G33" s="99">
        <v>0.33250099694068813</v>
      </c>
      <c r="H33" s="107" t="s">
        <v>269</v>
      </c>
      <c r="I33" s="99">
        <v>-0.34361648557167118</v>
      </c>
      <c r="J33" s="99">
        <v>0.3441130813137448</v>
      </c>
      <c r="K33" s="99">
        <v>0.25098319528739893</v>
      </c>
      <c r="L33" s="107" t="s">
        <v>231</v>
      </c>
      <c r="M33" s="106">
        <v>1</v>
      </c>
      <c r="N33" s="107" t="s">
        <v>275</v>
      </c>
      <c r="O33" s="107" t="s">
        <v>172</v>
      </c>
      <c r="P33" s="108" t="s">
        <v>237</v>
      </c>
      <c r="Q33" s="88"/>
    </row>
    <row r="34" spans="1:17" ht="23" x14ac:dyDescent="0.35">
      <c r="A34" s="150"/>
      <c r="B34" s="97" t="s">
        <v>11</v>
      </c>
      <c r="C34" s="109">
        <v>2.5375899434818529E-2</v>
      </c>
      <c r="D34" s="99">
        <v>4.2287541863245161E-5</v>
      </c>
      <c r="E34" s="99">
        <v>1.3384106929848053E-3</v>
      </c>
      <c r="F34" s="99">
        <v>2.2221852577564361E-2</v>
      </c>
      <c r="G34" s="99">
        <v>6.2973812006993701E-2</v>
      </c>
      <c r="H34" s="99">
        <v>1.3284656432235135E-3</v>
      </c>
      <c r="I34" s="99">
        <v>5.4161253549054579E-2</v>
      </c>
      <c r="J34" s="99">
        <v>5.379162076757954E-2</v>
      </c>
      <c r="K34" s="99">
        <v>0.16587412410180077</v>
      </c>
      <c r="L34" s="99">
        <v>5.7899872273368331E-5</v>
      </c>
      <c r="M34" s="110"/>
      <c r="N34" s="99">
        <v>1.1357925753232781E-2</v>
      </c>
      <c r="O34" s="99">
        <v>1.0983067451094323E-3</v>
      </c>
      <c r="P34" s="100">
        <v>2.3504800703355298E-5</v>
      </c>
      <c r="Q34" s="88"/>
    </row>
    <row r="35" spans="1:17" x14ac:dyDescent="0.35">
      <c r="A35" s="149"/>
      <c r="B35" s="101" t="s">
        <v>12</v>
      </c>
      <c r="C35" s="102">
        <v>32</v>
      </c>
      <c r="D35" s="103">
        <v>32</v>
      </c>
      <c r="E35" s="103">
        <v>32</v>
      </c>
      <c r="F35" s="103">
        <v>32</v>
      </c>
      <c r="G35" s="103">
        <v>32</v>
      </c>
      <c r="H35" s="103">
        <v>32</v>
      </c>
      <c r="I35" s="103">
        <v>32</v>
      </c>
      <c r="J35" s="103">
        <v>32</v>
      </c>
      <c r="K35" s="103">
        <v>32</v>
      </c>
      <c r="L35" s="103">
        <v>32</v>
      </c>
      <c r="M35" s="103">
        <v>32</v>
      </c>
      <c r="N35" s="103">
        <v>32</v>
      </c>
      <c r="O35" s="103">
        <v>32</v>
      </c>
      <c r="P35" s="104">
        <v>32</v>
      </c>
      <c r="Q35" s="88"/>
    </row>
    <row r="36" spans="1:17" ht="34.5" x14ac:dyDescent="0.35">
      <c r="A36" s="149" t="s">
        <v>67</v>
      </c>
      <c r="B36" s="97" t="s">
        <v>10</v>
      </c>
      <c r="C36" s="109">
        <v>0.3216337604513384</v>
      </c>
      <c r="D36" s="99">
        <v>0.32254297430886397</v>
      </c>
      <c r="E36" s="107" t="s">
        <v>200</v>
      </c>
      <c r="F36" s="107" t="s">
        <v>262</v>
      </c>
      <c r="G36" s="99">
        <v>0.25087260300212721</v>
      </c>
      <c r="H36" s="99">
        <v>0.34022878627424563</v>
      </c>
      <c r="I36" s="107" t="s">
        <v>272</v>
      </c>
      <c r="J36" s="99">
        <v>0.26620695282483414</v>
      </c>
      <c r="K36" s="107" t="s">
        <v>166</v>
      </c>
      <c r="L36" s="107" t="s">
        <v>101</v>
      </c>
      <c r="M36" s="107" t="s">
        <v>275</v>
      </c>
      <c r="N36" s="106">
        <v>1</v>
      </c>
      <c r="O36" s="107" t="s">
        <v>276</v>
      </c>
      <c r="P36" s="108" t="s">
        <v>210</v>
      </c>
      <c r="Q36" s="88"/>
    </row>
    <row r="37" spans="1:17" ht="23" x14ac:dyDescent="0.35">
      <c r="A37" s="150"/>
      <c r="B37" s="97" t="s">
        <v>11</v>
      </c>
      <c r="C37" s="109">
        <v>7.2639811528468823E-2</v>
      </c>
      <c r="D37" s="99">
        <v>7.1789419448543959E-2</v>
      </c>
      <c r="E37" s="99">
        <v>2.2178970616454712E-3</v>
      </c>
      <c r="F37" s="99">
        <v>6.4887643667073879E-4</v>
      </c>
      <c r="G37" s="99">
        <v>0.16606696079900335</v>
      </c>
      <c r="H37" s="99">
        <v>5.6736775232969029E-2</v>
      </c>
      <c r="I37" s="99">
        <v>3.4448191810228533E-2</v>
      </c>
      <c r="J37" s="99">
        <v>0.14083070629410435</v>
      </c>
      <c r="K37" s="99">
        <v>2.4447679680962855E-3</v>
      </c>
      <c r="L37" s="99">
        <v>3.2743293757202738E-3</v>
      </c>
      <c r="M37" s="99">
        <v>1.1357925753232781E-2</v>
      </c>
      <c r="N37" s="110"/>
      <c r="O37" s="99">
        <v>2.58431454677266E-11</v>
      </c>
      <c r="P37" s="100">
        <v>2.478304045758716E-4</v>
      </c>
      <c r="Q37" s="88"/>
    </row>
    <row r="38" spans="1:17" x14ac:dyDescent="0.35">
      <c r="A38" s="149"/>
      <c r="B38" s="101" t="s">
        <v>12</v>
      </c>
      <c r="C38" s="102">
        <v>32</v>
      </c>
      <c r="D38" s="103">
        <v>32</v>
      </c>
      <c r="E38" s="103">
        <v>32</v>
      </c>
      <c r="F38" s="103">
        <v>32</v>
      </c>
      <c r="G38" s="103">
        <v>32</v>
      </c>
      <c r="H38" s="103">
        <v>32</v>
      </c>
      <c r="I38" s="103">
        <v>32</v>
      </c>
      <c r="J38" s="103">
        <v>32</v>
      </c>
      <c r="K38" s="103">
        <v>32</v>
      </c>
      <c r="L38" s="103">
        <v>32</v>
      </c>
      <c r="M38" s="103">
        <v>32</v>
      </c>
      <c r="N38" s="103">
        <v>32</v>
      </c>
      <c r="O38" s="103">
        <v>32</v>
      </c>
      <c r="P38" s="104">
        <v>32</v>
      </c>
      <c r="Q38" s="88"/>
    </row>
    <row r="39" spans="1:17" ht="34.5" x14ac:dyDescent="0.35">
      <c r="A39" s="149" t="s">
        <v>68</v>
      </c>
      <c r="B39" s="97" t="s">
        <v>10</v>
      </c>
      <c r="C39" s="109">
        <v>0.28365431446558775</v>
      </c>
      <c r="D39" s="99">
        <v>0.30767707720458859</v>
      </c>
      <c r="E39" s="107" t="s">
        <v>92</v>
      </c>
      <c r="F39" s="107" t="s">
        <v>181</v>
      </c>
      <c r="G39" s="99">
        <v>0.24232015747572203</v>
      </c>
      <c r="H39" s="99">
        <v>0.32148598476678558</v>
      </c>
      <c r="I39" s="99">
        <v>-0.31497039417435602</v>
      </c>
      <c r="J39" s="107" t="s">
        <v>81</v>
      </c>
      <c r="K39" s="107" t="s">
        <v>130</v>
      </c>
      <c r="L39" s="107" t="s">
        <v>133</v>
      </c>
      <c r="M39" s="107" t="s">
        <v>172</v>
      </c>
      <c r="N39" s="107" t="s">
        <v>276</v>
      </c>
      <c r="O39" s="106">
        <v>1</v>
      </c>
      <c r="P39" s="108" t="s">
        <v>277</v>
      </c>
      <c r="Q39" s="88"/>
    </row>
    <row r="40" spans="1:17" ht="23" x14ac:dyDescent="0.35">
      <c r="A40" s="150"/>
      <c r="B40" s="97" t="s">
        <v>11</v>
      </c>
      <c r="C40" s="109">
        <v>0.11565826619947664</v>
      </c>
      <c r="D40" s="99">
        <v>8.669901304965355E-2</v>
      </c>
      <c r="E40" s="99">
        <v>3.6357370047667157E-3</v>
      </c>
      <c r="F40" s="99">
        <v>2.6004237994485535E-3</v>
      </c>
      <c r="G40" s="99">
        <v>0.18146797823169653</v>
      </c>
      <c r="H40" s="99">
        <v>7.2778762768885535E-2</v>
      </c>
      <c r="I40" s="99">
        <v>7.9113040369201151E-2</v>
      </c>
      <c r="J40" s="99">
        <v>3.7720487934489656E-2</v>
      </c>
      <c r="K40" s="99">
        <v>8.7189110301572059E-3</v>
      </c>
      <c r="L40" s="99">
        <v>1.5858733174501218E-4</v>
      </c>
      <c r="M40" s="99">
        <v>1.0983067451094323E-3</v>
      </c>
      <c r="N40" s="99">
        <v>2.58431454677266E-11</v>
      </c>
      <c r="O40" s="110"/>
      <c r="P40" s="100">
        <v>1.2945653062149923E-4</v>
      </c>
      <c r="Q40" s="88"/>
    </row>
    <row r="41" spans="1:17" x14ac:dyDescent="0.35">
      <c r="A41" s="149"/>
      <c r="B41" s="101" t="s">
        <v>12</v>
      </c>
      <c r="C41" s="102">
        <v>32</v>
      </c>
      <c r="D41" s="103">
        <v>32</v>
      </c>
      <c r="E41" s="103">
        <v>32</v>
      </c>
      <c r="F41" s="103">
        <v>32</v>
      </c>
      <c r="G41" s="103">
        <v>32</v>
      </c>
      <c r="H41" s="103">
        <v>32</v>
      </c>
      <c r="I41" s="103">
        <v>32</v>
      </c>
      <c r="J41" s="103">
        <v>32</v>
      </c>
      <c r="K41" s="103">
        <v>32</v>
      </c>
      <c r="L41" s="103">
        <v>32</v>
      </c>
      <c r="M41" s="103">
        <v>32</v>
      </c>
      <c r="N41" s="103">
        <v>32</v>
      </c>
      <c r="O41" s="103">
        <v>32</v>
      </c>
      <c r="P41" s="104">
        <v>32</v>
      </c>
      <c r="Q41" s="88"/>
    </row>
    <row r="42" spans="1:17" ht="34.5" x14ac:dyDescent="0.35">
      <c r="A42" s="149" t="s">
        <v>69</v>
      </c>
      <c r="B42" s="97" t="s">
        <v>10</v>
      </c>
      <c r="C42" s="105" t="s">
        <v>246</v>
      </c>
      <c r="D42" s="107" t="s">
        <v>117</v>
      </c>
      <c r="E42" s="107" t="s">
        <v>255</v>
      </c>
      <c r="F42" s="107" t="s">
        <v>263</v>
      </c>
      <c r="G42" s="107" t="s">
        <v>266</v>
      </c>
      <c r="H42" s="107" t="s">
        <v>270</v>
      </c>
      <c r="I42" s="99">
        <v>-0.26157486174787264</v>
      </c>
      <c r="J42" s="107" t="s">
        <v>237</v>
      </c>
      <c r="K42" s="107" t="s">
        <v>238</v>
      </c>
      <c r="L42" s="107" t="s">
        <v>274</v>
      </c>
      <c r="M42" s="107" t="s">
        <v>237</v>
      </c>
      <c r="N42" s="107" t="s">
        <v>210</v>
      </c>
      <c r="O42" s="107" t="s">
        <v>277</v>
      </c>
      <c r="P42" s="111">
        <v>1</v>
      </c>
      <c r="Q42" s="88"/>
    </row>
    <row r="43" spans="1:17" ht="23" x14ac:dyDescent="0.35">
      <c r="A43" s="150"/>
      <c r="B43" s="97" t="s">
        <v>11</v>
      </c>
      <c r="C43" s="109">
        <v>3.5279612426856263E-6</v>
      </c>
      <c r="D43" s="99">
        <v>7.5559982310776875E-7</v>
      </c>
      <c r="E43" s="99">
        <v>2.6584726799273295E-12</v>
      </c>
      <c r="F43" s="99">
        <v>2.8822264346791262E-7</v>
      </c>
      <c r="G43" s="99">
        <v>1.0100804513408276E-5</v>
      </c>
      <c r="H43" s="99">
        <v>4.5009778768378546E-7</v>
      </c>
      <c r="I43" s="99">
        <v>0.14813864990348977</v>
      </c>
      <c r="J43" s="99">
        <v>2.3806599304733375E-5</v>
      </c>
      <c r="K43" s="99">
        <v>1.0222938093810609E-6</v>
      </c>
      <c r="L43" s="99">
        <v>9.8443900060094272E-6</v>
      </c>
      <c r="M43" s="99">
        <v>2.3504800703355298E-5</v>
      </c>
      <c r="N43" s="99">
        <v>2.478304045758716E-4</v>
      </c>
      <c r="O43" s="99">
        <v>1.2945653062149923E-4</v>
      </c>
      <c r="P43" s="112"/>
      <c r="Q43" s="88"/>
    </row>
    <row r="44" spans="1:17" x14ac:dyDescent="0.35">
      <c r="A44" s="152"/>
      <c r="B44" s="113" t="s">
        <v>12</v>
      </c>
      <c r="C44" s="114">
        <v>32</v>
      </c>
      <c r="D44" s="115">
        <v>32</v>
      </c>
      <c r="E44" s="115">
        <v>32</v>
      </c>
      <c r="F44" s="115">
        <v>32</v>
      </c>
      <c r="G44" s="115">
        <v>32</v>
      </c>
      <c r="H44" s="115">
        <v>32</v>
      </c>
      <c r="I44" s="115">
        <v>32</v>
      </c>
      <c r="J44" s="115">
        <v>32</v>
      </c>
      <c r="K44" s="115">
        <v>32</v>
      </c>
      <c r="L44" s="115">
        <v>32</v>
      </c>
      <c r="M44" s="115">
        <v>32</v>
      </c>
      <c r="N44" s="115">
        <v>32</v>
      </c>
      <c r="O44" s="115">
        <v>32</v>
      </c>
      <c r="P44" s="116">
        <v>32</v>
      </c>
      <c r="Q44" s="88"/>
    </row>
    <row r="45" spans="1:17" x14ac:dyDescent="0.35">
      <c r="A45" s="148" t="s">
        <v>14</v>
      </c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88"/>
    </row>
    <row r="46" spans="1:17" x14ac:dyDescent="0.35">
      <c r="A46" s="148" t="s">
        <v>13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88"/>
    </row>
  </sheetData>
  <mergeCells count="19">
    <mergeCell ref="W1:X1"/>
    <mergeCell ref="A33:A35"/>
    <mergeCell ref="A36:A38"/>
    <mergeCell ref="A39:A41"/>
    <mergeCell ref="A42:A44"/>
    <mergeCell ref="A1:P1"/>
    <mergeCell ref="A2:B2"/>
    <mergeCell ref="A3:A5"/>
    <mergeCell ref="A6:A8"/>
    <mergeCell ref="A9:A11"/>
    <mergeCell ref="A12:A14"/>
    <mergeCell ref="A45:P45"/>
    <mergeCell ref="A46:P46"/>
    <mergeCell ref="A15:A17"/>
    <mergeCell ref="A18:A20"/>
    <mergeCell ref="A21:A23"/>
    <mergeCell ref="A24:A26"/>
    <mergeCell ref="A27:A29"/>
    <mergeCell ref="A30:A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4B2C-A694-46CF-AF2D-4A5655E8A3DD}">
  <dimension ref="A1:D51"/>
  <sheetViews>
    <sheetView topLeftCell="A37" workbookViewId="0">
      <selection sqref="A1:D51"/>
    </sheetView>
  </sheetViews>
  <sheetFormatPr defaultRowHeight="14.5" x14ac:dyDescent="0.35"/>
  <cols>
    <col min="1" max="1" width="7" bestFit="1" customWidth="1"/>
    <col min="2" max="2" width="12.453125" bestFit="1" customWidth="1"/>
    <col min="3" max="3" width="11.81640625" bestFit="1" customWidth="1"/>
    <col min="4" max="4" width="9.81640625" bestFit="1" customWidth="1"/>
  </cols>
  <sheetData>
    <row r="1" spans="1:4" ht="24" x14ac:dyDescent="0.35">
      <c r="A1" s="156" t="s">
        <v>73</v>
      </c>
      <c r="B1" s="156" t="s">
        <v>74</v>
      </c>
      <c r="C1" s="156" t="s">
        <v>75</v>
      </c>
      <c r="D1" s="156" t="s">
        <v>76</v>
      </c>
    </row>
    <row r="2" spans="1:4" x14ac:dyDescent="0.35">
      <c r="A2" t="str" cm="1">
        <f t="array" aca="1" ref="A2:D8" ca="1">'Motivasi Berpretasi'!L3:O9</f>
        <v>MB1</v>
      </c>
      <c r="B2" t="str">
        <f ca="1"/>
        <v>0,661**</v>
      </c>
      <c r="C2">
        <f ca="1"/>
        <v>3.8224994322311687E-5</v>
      </c>
      <c r="D2" t="str">
        <f ca="1"/>
        <v>Valid</v>
      </c>
    </row>
    <row r="3" spans="1:4" x14ac:dyDescent="0.35">
      <c r="A3" t="str">
        <f ca="1"/>
        <v>MB2</v>
      </c>
      <c r="B3" t="str">
        <f ca="1"/>
        <v>0,715**</v>
      </c>
      <c r="C3">
        <f ca="1"/>
        <v>4.3223370937272937E-6</v>
      </c>
      <c r="D3" t="str">
        <f ca="1"/>
        <v>Valid</v>
      </c>
    </row>
    <row r="4" spans="1:4" x14ac:dyDescent="0.35">
      <c r="A4" t="str">
        <f ca="1"/>
        <v>MB3</v>
      </c>
      <c r="B4" t="str">
        <f ca="1"/>
        <v>0,765**</v>
      </c>
      <c r="C4">
        <f ca="1"/>
        <v>3.3368586128880482E-7</v>
      </c>
      <c r="D4" t="str">
        <f ca="1"/>
        <v>Valid</v>
      </c>
    </row>
    <row r="5" spans="1:4" x14ac:dyDescent="0.35">
      <c r="A5" t="str">
        <f ca="1"/>
        <v>MB4</v>
      </c>
      <c r="B5" t="str">
        <f ca="1"/>
        <v>0,717**</v>
      </c>
      <c r="C5">
        <f ca="1"/>
        <v>3.9029485804568904E-6</v>
      </c>
      <c r="D5" t="str">
        <f ca="1"/>
        <v>Valid</v>
      </c>
    </row>
    <row r="6" spans="1:4" x14ac:dyDescent="0.35">
      <c r="A6" t="str">
        <f ca="1"/>
        <v>MB5</v>
      </c>
      <c r="B6" t="str">
        <f ca="1"/>
        <v>0,667**</v>
      </c>
      <c r="C6">
        <f ca="1"/>
        <v>3.0240108742625444E-5</v>
      </c>
      <c r="D6" t="str">
        <f ca="1"/>
        <v>Valid</v>
      </c>
    </row>
    <row r="7" spans="1:4" x14ac:dyDescent="0.35">
      <c r="A7" t="str">
        <f ca="1"/>
        <v>MB6</v>
      </c>
      <c r="B7" t="str">
        <f ca="1"/>
        <v>0,688**</v>
      </c>
      <c r="C7">
        <f ca="1"/>
        <v>1.3656131349859352E-5</v>
      </c>
      <c r="D7" t="str">
        <f ca="1"/>
        <v>Valid</v>
      </c>
    </row>
    <row r="8" spans="1:4" x14ac:dyDescent="0.35">
      <c r="A8" t="str">
        <f ca="1"/>
        <v>MB7</v>
      </c>
      <c r="B8" t="str">
        <f ca="1"/>
        <v>0,742**</v>
      </c>
      <c r="C8">
        <f ca="1"/>
        <v>1.1784213342778345E-6</v>
      </c>
      <c r="D8" t="str">
        <f ca="1"/>
        <v>Valid</v>
      </c>
    </row>
    <row r="9" spans="1:4" x14ac:dyDescent="0.35">
      <c r="A9" t="str" cm="1">
        <f t="array" aca="1" ref="A9:D19" ca="1">'Komitmen Pegawai'!P3:S13</f>
        <v>KP1</v>
      </c>
      <c r="B9" t="str">
        <f ca="1"/>
        <v>0,541**</v>
      </c>
      <c r="C9">
        <f ca="1"/>
        <v>1.3998428644218413E-3</v>
      </c>
      <c r="D9" t="str">
        <f ca="1"/>
        <v>Valid</v>
      </c>
    </row>
    <row r="10" spans="1:4" x14ac:dyDescent="0.35">
      <c r="A10" t="str">
        <f ca="1"/>
        <v>KP2</v>
      </c>
      <c r="B10" t="str">
        <f ca="1"/>
        <v>0,685**</v>
      </c>
      <c r="C10">
        <f ca="1"/>
        <v>1.5511887167702783E-5</v>
      </c>
      <c r="D10" t="str">
        <f ca="1"/>
        <v>Valid</v>
      </c>
    </row>
    <row r="11" spans="1:4" x14ac:dyDescent="0.35">
      <c r="A11" t="str">
        <f ca="1"/>
        <v>KP3</v>
      </c>
      <c r="B11" t="str">
        <f ca="1"/>
        <v>0,797**</v>
      </c>
      <c r="C11">
        <f ca="1"/>
        <v>4.8090071466535115E-8</v>
      </c>
      <c r="D11" t="str">
        <f ca="1"/>
        <v>Valid</v>
      </c>
    </row>
    <row r="12" spans="1:4" x14ac:dyDescent="0.35">
      <c r="A12" t="str">
        <f ca="1"/>
        <v>KP4</v>
      </c>
      <c r="B12" t="str">
        <f ca="1"/>
        <v>0,726**</v>
      </c>
      <c r="C12">
        <f ca="1"/>
        <v>2.5391012059837474E-6</v>
      </c>
      <c r="D12" t="str">
        <f ca="1"/>
        <v>Valid</v>
      </c>
    </row>
    <row r="13" spans="1:4" x14ac:dyDescent="0.35">
      <c r="A13" t="str">
        <f ca="1"/>
        <v>KP5</v>
      </c>
      <c r="B13" t="str">
        <f ca="1"/>
        <v>0,629**</v>
      </c>
      <c r="C13">
        <f ca="1"/>
        <v>1.168778607429698E-4</v>
      </c>
      <c r="D13" t="str">
        <f ca="1"/>
        <v>Valid</v>
      </c>
    </row>
    <row r="14" spans="1:4" x14ac:dyDescent="0.35">
      <c r="A14" t="str">
        <f ca="1"/>
        <v>KP6</v>
      </c>
      <c r="B14" t="str">
        <f ca="1"/>
        <v>0,785**</v>
      </c>
      <c r="C14">
        <f ca="1"/>
        <v>1.0484726682837159E-7</v>
      </c>
      <c r="D14" t="str">
        <f ca="1"/>
        <v>Valid</v>
      </c>
    </row>
    <row r="15" spans="1:4" x14ac:dyDescent="0.35">
      <c r="A15" t="str">
        <f ca="1"/>
        <v>KP7</v>
      </c>
      <c r="B15">
        <f ca="1"/>
        <v>-0.17435188791671488</v>
      </c>
      <c r="C15">
        <f ca="1"/>
        <v>0.33989129405428486</v>
      </c>
      <c r="D15" t="str">
        <f ca="1"/>
        <v>Tidak Valid</v>
      </c>
    </row>
    <row r="16" spans="1:4" x14ac:dyDescent="0.35">
      <c r="A16" t="str">
        <f ca="1"/>
        <v>KP8</v>
      </c>
      <c r="B16">
        <f ca="1"/>
        <v>3.5026753142938745E-2</v>
      </c>
      <c r="C16">
        <f ca="1"/>
        <v>0.84906137689283034</v>
      </c>
      <c r="D16" t="str">
        <f ca="1"/>
        <v>Tidak Valid</v>
      </c>
    </row>
    <row r="17" spans="1:4" x14ac:dyDescent="0.35">
      <c r="A17" t="str">
        <f ca="1"/>
        <v>KP9</v>
      </c>
      <c r="B17" t="str">
        <f ca="1"/>
        <v>0,456**</v>
      </c>
      <c r="C17">
        <f ca="1"/>
        <v>8.7618618911392294E-3</v>
      </c>
      <c r="D17" t="str">
        <f ca="1"/>
        <v>Valid</v>
      </c>
    </row>
    <row r="18" spans="1:4" x14ac:dyDescent="0.35">
      <c r="A18" t="str">
        <f ca="1"/>
        <v>KP10</v>
      </c>
      <c r="B18" t="str">
        <f ca="1"/>
        <v>0,644**</v>
      </c>
      <c r="C18">
        <f ca="1"/>
        <v>6.9215071193356312E-5</v>
      </c>
      <c r="D18" t="str">
        <f ca="1"/>
        <v>Valid</v>
      </c>
    </row>
    <row r="19" spans="1:4" x14ac:dyDescent="0.35">
      <c r="A19" t="str">
        <f ca="1"/>
        <v>KP11</v>
      </c>
      <c r="B19" t="str">
        <f ca="1"/>
        <v>0,455**</v>
      </c>
      <c r="C19">
        <f ca="1"/>
        <v>8.9262248837908981E-3</v>
      </c>
      <c r="D19" t="str">
        <f ca="1"/>
        <v>Valid</v>
      </c>
    </row>
    <row r="20" spans="1:4" x14ac:dyDescent="0.35">
      <c r="A20" t="str" cm="1">
        <f t="array" aca="1" ref="A20:D38" ca="1">'Budaya Organisasi'!X3:AA21</f>
        <v>BO1</v>
      </c>
      <c r="B20" t="str">
        <f ca="1"/>
        <v>0,500**</v>
      </c>
      <c r="C20">
        <f ca="1"/>
        <v>3.5480628661562247E-3</v>
      </c>
      <c r="D20" t="str">
        <f ca="1"/>
        <v>Valid</v>
      </c>
    </row>
    <row r="21" spans="1:4" x14ac:dyDescent="0.35">
      <c r="A21" t="str">
        <f ca="1"/>
        <v>BO2</v>
      </c>
      <c r="B21" t="str">
        <f ca="1"/>
        <v>0,371*</v>
      </c>
      <c r="C21">
        <f ca="1"/>
        <v>3.6744703247953189E-2</v>
      </c>
      <c r="D21" t="str">
        <f ca="1"/>
        <v>Valid</v>
      </c>
    </row>
    <row r="22" spans="1:4" x14ac:dyDescent="0.35">
      <c r="A22" t="str">
        <f ca="1"/>
        <v>BO3</v>
      </c>
      <c r="B22" t="str">
        <f ca="1"/>
        <v>0,441*</v>
      </c>
      <c r="C22">
        <f ca="1"/>
        <v>1.1500942355665896E-2</v>
      </c>
      <c r="D22" t="str">
        <f ca="1"/>
        <v>Valid</v>
      </c>
    </row>
    <row r="23" spans="1:4" x14ac:dyDescent="0.35">
      <c r="A23" t="str">
        <f ca="1"/>
        <v>BO4</v>
      </c>
      <c r="B23" t="str">
        <f ca="1"/>
        <v>0,610**</v>
      </c>
      <c r="C23">
        <f ca="1"/>
        <v>2.1101342240920567E-4</v>
      </c>
      <c r="D23" t="str">
        <f ca="1"/>
        <v>Valid</v>
      </c>
    </row>
    <row r="24" spans="1:4" x14ac:dyDescent="0.35">
      <c r="A24" t="str">
        <f ca="1"/>
        <v>BO5</v>
      </c>
      <c r="B24" t="str">
        <f ca="1"/>
        <v>0,737**</v>
      </c>
      <c r="C24">
        <f ca="1"/>
        <v>1.4958627697463325E-6</v>
      </c>
      <c r="D24" t="str">
        <f ca="1"/>
        <v>Valid</v>
      </c>
    </row>
    <row r="25" spans="1:4" x14ac:dyDescent="0.35">
      <c r="A25" t="str">
        <f ca="1"/>
        <v>BO6</v>
      </c>
      <c r="B25" t="str">
        <f ca="1"/>
        <v>0,830**</v>
      </c>
      <c r="C25">
        <f ca="1"/>
        <v>4.1069042867989039E-9</v>
      </c>
      <c r="D25" t="str">
        <f ca="1"/>
        <v>Valid</v>
      </c>
    </row>
    <row r="26" spans="1:4" x14ac:dyDescent="0.35">
      <c r="A26" t="str">
        <f ca="1"/>
        <v>BO7</v>
      </c>
      <c r="B26" t="str">
        <f ca="1"/>
        <v>0,848**</v>
      </c>
      <c r="C26">
        <f ca="1"/>
        <v>9.2674778436768379E-10</v>
      </c>
      <c r="D26" t="str">
        <f ca="1"/>
        <v>Valid</v>
      </c>
    </row>
    <row r="27" spans="1:4" x14ac:dyDescent="0.35">
      <c r="A27" t="str">
        <f ca="1"/>
        <v>BO8</v>
      </c>
      <c r="B27" t="str">
        <f ca="1"/>
        <v>0,817**</v>
      </c>
      <c r="C27">
        <f ca="1"/>
        <v>1.1804168353676187E-8</v>
      </c>
      <c r="D27" t="str">
        <f ca="1"/>
        <v>Valid</v>
      </c>
    </row>
    <row r="28" spans="1:4" x14ac:dyDescent="0.35">
      <c r="A28" t="str">
        <f ca="1"/>
        <v>BO9</v>
      </c>
      <c r="B28" t="str">
        <f ca="1"/>
        <v>0,742**</v>
      </c>
      <c r="C28">
        <f ca="1"/>
        <v>1.1676842087963469E-6</v>
      </c>
      <c r="D28" t="str">
        <f ca="1"/>
        <v>Valid</v>
      </c>
    </row>
    <row r="29" spans="1:4" x14ac:dyDescent="0.35">
      <c r="A29" t="str">
        <f ca="1"/>
        <v>BO10</v>
      </c>
      <c r="B29" t="str">
        <f ca="1"/>
        <v>0,778**</v>
      </c>
      <c r="C29">
        <f ca="1"/>
        <v>1.571806921514865E-7</v>
      </c>
      <c r="D29" t="str">
        <f ca="1"/>
        <v>Valid</v>
      </c>
    </row>
    <row r="30" spans="1:4" x14ac:dyDescent="0.35">
      <c r="A30" t="str">
        <f ca="1"/>
        <v>BO11</v>
      </c>
      <c r="B30" t="str">
        <f ca="1"/>
        <v>0,649**</v>
      </c>
      <c r="C30">
        <f ca="1"/>
        <v>5.9432711313697522E-5</v>
      </c>
      <c r="D30" t="str">
        <f ca="1"/>
        <v>Valid</v>
      </c>
    </row>
    <row r="31" spans="1:4" x14ac:dyDescent="0.35">
      <c r="A31" t="str">
        <f ca="1"/>
        <v>BO12</v>
      </c>
      <c r="B31" t="str">
        <f ca="1"/>
        <v>0,646**</v>
      </c>
      <c r="C31">
        <f ca="1"/>
        <v>6.6010221130913127E-5</v>
      </c>
      <c r="D31" t="str">
        <f ca="1"/>
        <v>Valid</v>
      </c>
    </row>
    <row r="32" spans="1:4" x14ac:dyDescent="0.35">
      <c r="A32" t="str">
        <f ca="1"/>
        <v>BO13</v>
      </c>
      <c r="B32" t="str">
        <f ca="1"/>
        <v>0,694**</v>
      </c>
      <c r="C32">
        <f ca="1"/>
        <v>1.0560624344252329E-5</v>
      </c>
      <c r="D32" t="str">
        <f ca="1"/>
        <v>Valid</v>
      </c>
    </row>
    <row r="33" spans="1:4" x14ac:dyDescent="0.35">
      <c r="A33" t="str">
        <f ca="1"/>
        <v>BO14</v>
      </c>
      <c r="B33" t="str">
        <f ca="1"/>
        <v>0,682**</v>
      </c>
      <c r="C33">
        <f ca="1"/>
        <v>1.7289517620471625E-5</v>
      </c>
      <c r="D33" t="str">
        <f ca="1"/>
        <v>Valid</v>
      </c>
    </row>
    <row r="34" spans="1:4" x14ac:dyDescent="0.35">
      <c r="A34" t="str">
        <f ca="1"/>
        <v>BO15</v>
      </c>
      <c r="B34" t="str">
        <f ca="1"/>
        <v>0,728**</v>
      </c>
      <c r="C34">
        <f ca="1"/>
        <v>2.3051543259342047E-6</v>
      </c>
      <c r="D34" t="str">
        <f ca="1"/>
        <v>Valid</v>
      </c>
    </row>
    <row r="35" spans="1:4" x14ac:dyDescent="0.35">
      <c r="A35" t="str">
        <f ca="1"/>
        <v>BO16</v>
      </c>
      <c r="B35" t="str">
        <f ca="1"/>
        <v>0,740**</v>
      </c>
      <c r="C35">
        <f ca="1"/>
        <v>1.2709800737901547E-6</v>
      </c>
      <c r="D35" t="str">
        <f ca="1"/>
        <v>Valid</v>
      </c>
    </row>
    <row r="36" spans="1:4" x14ac:dyDescent="0.35">
      <c r="A36" t="str">
        <f ca="1"/>
        <v>BO17</v>
      </c>
      <c r="B36" t="str">
        <f ca="1"/>
        <v>0,738**</v>
      </c>
      <c r="C36">
        <f ca="1"/>
        <v>1.4476326777621397E-6</v>
      </c>
      <c r="D36" t="str">
        <f ca="1"/>
        <v>Valid</v>
      </c>
    </row>
    <row r="37" spans="1:4" x14ac:dyDescent="0.35">
      <c r="A37" t="str">
        <f ca="1"/>
        <v>BO18</v>
      </c>
      <c r="B37" t="str">
        <f ca="1"/>
        <v>0,674**</v>
      </c>
      <c r="C37">
        <f ca="1"/>
        <v>2.3641011744108889E-5</v>
      </c>
      <c r="D37" t="str">
        <f ca="1"/>
        <v>Valid</v>
      </c>
    </row>
    <row r="38" spans="1:4" x14ac:dyDescent="0.35">
      <c r="A38" t="str">
        <f ca="1"/>
        <v>BO19</v>
      </c>
      <c r="B38" t="str">
        <f ca="1"/>
        <v>0,745**</v>
      </c>
      <c r="C38">
        <f ca="1"/>
        <v>1.0085766848597119E-6</v>
      </c>
      <c r="D38" t="str">
        <f ca="1"/>
        <v>Valid</v>
      </c>
    </row>
    <row r="39" spans="1:4" x14ac:dyDescent="0.35">
      <c r="A39" t="str" cm="1">
        <f t="array" aca="1" ref="A39:D51" ca="1">'Kinerja Pegawai'!R3:U15</f>
        <v>KiP1</v>
      </c>
      <c r="B39" t="str">
        <f ca="1"/>
        <v>0,719**</v>
      </c>
      <c r="C39">
        <f ca="1"/>
        <v>3.5279612426856263E-6</v>
      </c>
      <c r="D39" t="str">
        <f ca="1"/>
        <v>Valid</v>
      </c>
    </row>
    <row r="40" spans="1:4" x14ac:dyDescent="0.35">
      <c r="A40" t="str">
        <f ca="1"/>
        <v>KiP2</v>
      </c>
      <c r="B40" t="str">
        <f ca="1"/>
        <v>0,750**</v>
      </c>
      <c r="C40">
        <f ca="1"/>
        <v>7.5559982310776875E-7</v>
      </c>
      <c r="D40" t="str">
        <f ca="1"/>
        <v>Valid</v>
      </c>
    </row>
    <row r="41" spans="1:4" x14ac:dyDescent="0.35">
      <c r="A41" t="str">
        <f ca="1"/>
        <v>KiP3</v>
      </c>
      <c r="B41" t="str">
        <f ca="1"/>
        <v>0,899**</v>
      </c>
      <c r="C41">
        <f ca="1"/>
        <v>2.6584726799273295E-12</v>
      </c>
      <c r="D41" t="str">
        <f ca="1"/>
        <v>Valid</v>
      </c>
    </row>
    <row r="42" spans="1:4" x14ac:dyDescent="0.35">
      <c r="A42" t="str">
        <f ca="1"/>
        <v>KiP4</v>
      </c>
      <c r="B42" t="str">
        <f ca="1"/>
        <v>0,768**</v>
      </c>
      <c r="C42">
        <f ca="1"/>
        <v>2.8822264346791262E-7</v>
      </c>
      <c r="D42" t="str">
        <f ca="1"/>
        <v>Valid</v>
      </c>
    </row>
    <row r="43" spans="1:4" x14ac:dyDescent="0.35">
      <c r="A43" t="str">
        <f ca="1"/>
        <v>KiP5</v>
      </c>
      <c r="B43" t="str">
        <f ca="1"/>
        <v>0,695**</v>
      </c>
      <c r="C43">
        <f ca="1"/>
        <v>1.0100804513408276E-5</v>
      </c>
      <c r="D43" t="str">
        <f ca="1"/>
        <v>Valid</v>
      </c>
    </row>
    <row r="44" spans="1:4" x14ac:dyDescent="0.35">
      <c r="A44" t="str">
        <f ca="1"/>
        <v>KiP6</v>
      </c>
      <c r="B44" t="str">
        <f ca="1"/>
        <v>0,760**</v>
      </c>
      <c r="C44">
        <f ca="1"/>
        <v>4.5009778768378546E-7</v>
      </c>
      <c r="D44" t="str">
        <f ca="1"/>
        <v>Valid</v>
      </c>
    </row>
    <row r="45" spans="1:4" x14ac:dyDescent="0.35">
      <c r="A45" t="str">
        <f ca="1"/>
        <v>KiP7</v>
      </c>
      <c r="B45">
        <f ca="1"/>
        <v>-0.26157486174787264</v>
      </c>
      <c r="C45">
        <f ca="1"/>
        <v>0.14813864990348977</v>
      </c>
      <c r="D45" t="str">
        <f ca="1"/>
        <v>Tidak Valid</v>
      </c>
    </row>
    <row r="46" spans="1:4" x14ac:dyDescent="0.35">
      <c r="A46" t="str">
        <f ca="1"/>
        <v>KiP8</v>
      </c>
      <c r="B46" t="str">
        <f ca="1"/>
        <v>0,674**</v>
      </c>
      <c r="C46">
        <f ca="1"/>
        <v>2.3806599304733375E-5</v>
      </c>
      <c r="D46" t="str">
        <f ca="1"/>
        <v>Valid</v>
      </c>
    </row>
    <row r="47" spans="1:4" x14ac:dyDescent="0.35">
      <c r="A47" t="str">
        <f ca="1"/>
        <v>KiP9</v>
      </c>
      <c r="B47" t="str">
        <f ca="1"/>
        <v>0,745**</v>
      </c>
      <c r="C47">
        <f ca="1"/>
        <v>1.0222938093810609E-6</v>
      </c>
      <c r="D47" t="str">
        <f ca="1"/>
        <v>Valid</v>
      </c>
    </row>
    <row r="48" spans="1:4" x14ac:dyDescent="0.35">
      <c r="A48" t="str">
        <f ca="1"/>
        <v>KiP10</v>
      </c>
      <c r="B48" t="str">
        <f ca="1"/>
        <v>0,696**</v>
      </c>
      <c r="C48">
        <f ca="1"/>
        <v>9.8443900060094272E-6</v>
      </c>
      <c r="D48" t="str">
        <f ca="1"/>
        <v>Valid</v>
      </c>
    </row>
    <row r="49" spans="1:4" x14ac:dyDescent="0.35">
      <c r="A49" t="str">
        <f ca="1"/>
        <v>KiP11</v>
      </c>
      <c r="B49" t="str">
        <f ca="1"/>
        <v>0,674**</v>
      </c>
      <c r="C49">
        <f ca="1"/>
        <v>2.3504800703355298E-5</v>
      </c>
      <c r="D49" t="str">
        <f ca="1"/>
        <v>Valid</v>
      </c>
    </row>
    <row r="50" spans="1:4" x14ac:dyDescent="0.35">
      <c r="A50" t="str">
        <f ca="1"/>
        <v>KiP12</v>
      </c>
      <c r="B50" t="str">
        <f ca="1"/>
        <v>0,605**</v>
      </c>
      <c r="C50">
        <f ca="1"/>
        <v>2.478304045758716E-4</v>
      </c>
      <c r="D50" t="str">
        <f ca="1"/>
        <v>Valid</v>
      </c>
    </row>
    <row r="51" spans="1:4" x14ac:dyDescent="0.35">
      <c r="A51" s="155" t="str">
        <f ca="1"/>
        <v>KiP13</v>
      </c>
      <c r="B51" s="155" t="str">
        <f ca="1"/>
        <v>0,625**</v>
      </c>
      <c r="C51" s="155">
        <f ca="1"/>
        <v>1.2945653062149923E-4</v>
      </c>
      <c r="D51" s="155" t="str">
        <f ca="1"/>
        <v>Valid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1A95-6BCE-4F99-9A43-2122A86F83BD}">
  <dimension ref="A1:C5"/>
  <sheetViews>
    <sheetView tabSelected="1" workbookViewId="0">
      <selection sqref="A1:C5"/>
    </sheetView>
  </sheetViews>
  <sheetFormatPr defaultRowHeight="14.5" x14ac:dyDescent="0.35"/>
  <cols>
    <col min="1" max="1" width="6.7265625" bestFit="1" customWidth="1"/>
    <col min="2" max="2" width="11.81640625" bestFit="1" customWidth="1"/>
    <col min="3" max="3" width="12.26953125" bestFit="1" customWidth="1"/>
  </cols>
  <sheetData>
    <row r="1" spans="1:3" ht="24" x14ac:dyDescent="0.35">
      <c r="A1" s="156" t="s">
        <v>278</v>
      </c>
      <c r="B1" s="156" t="s">
        <v>71</v>
      </c>
      <c r="C1" s="156" t="s">
        <v>76</v>
      </c>
    </row>
    <row r="2" spans="1:3" x14ac:dyDescent="0.35">
      <c r="A2" t="s">
        <v>9</v>
      </c>
      <c r="B2" cm="1">
        <f t="array" ref="B2:C2">'Motivasi Berpretasi'!T3:U3</f>
        <v>0.8265776699029127</v>
      </c>
      <c r="C2" t="str">
        <v>Reliabel</v>
      </c>
    </row>
    <row r="3" spans="1:3" x14ac:dyDescent="0.35">
      <c r="A3" t="s">
        <v>26</v>
      </c>
      <c r="B3" cm="1">
        <f t="array" ref="B3:C3">'Komitmen Pegawai'!X3:Y3</f>
        <v>0.55321195465475781</v>
      </c>
      <c r="C3" t="str">
        <v>Tidak Reliabel</v>
      </c>
    </row>
    <row r="4" spans="1:3" x14ac:dyDescent="0.35">
      <c r="A4" t="s">
        <v>55</v>
      </c>
      <c r="B4" cm="1">
        <f t="array" ref="B4:C4">'Budaya Organisasi'!AF3:AG3</f>
        <v>0.93728050330726309</v>
      </c>
      <c r="C4" t="str">
        <v>Reliabel</v>
      </c>
    </row>
    <row r="5" spans="1:3" x14ac:dyDescent="0.35">
      <c r="A5" s="155" t="s">
        <v>69</v>
      </c>
      <c r="B5" s="155" cm="1">
        <f t="array" ref="B5:C5">'Kinerja Pegawai'!Z3:AA3</f>
        <v>0.84423570752804433</v>
      </c>
      <c r="C5" s="155" t="str">
        <v>Reliabel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Motivasi Berpretasi</vt:lpstr>
      <vt:lpstr>Komitmen Pegawai</vt:lpstr>
      <vt:lpstr>Budaya Organisasi</vt:lpstr>
      <vt:lpstr>Kinerja Pegawai</vt:lpstr>
      <vt:lpstr>Rangkuman Validitas</vt:lpstr>
      <vt:lpstr>Rangkuman Reliabilitas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2025-06-11T07:53:56Z</dcterms:created>
  <dcterms:modified xsi:type="dcterms:W3CDTF">2025-06-11T08:48:21Z</dcterms:modified>
</cp:coreProperties>
</file>