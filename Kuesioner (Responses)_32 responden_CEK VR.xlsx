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F362FC76-EEDC-44EB-8389-BEF1E66E3A8D}" xr6:coauthVersionLast="47" xr6:coauthVersionMax="47" xr10:uidLastSave="{00000000-0000-0000-0000-000000000000}"/>
  <bookViews>
    <workbookView xWindow="-110" yWindow="-110" windowWidth="19420" windowHeight="10300" xr2:uid="{00000000-000D-0000-FFFF-FFFF00000000}"/>
  </bookViews>
  <sheets>
    <sheet name="Form Responses 1"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9" i="2" l="1"/>
  <c r="D28" i="2"/>
  <c r="D27" i="2"/>
  <c r="D26" i="2"/>
  <c r="D25" i="2"/>
  <c r="C29" i="2"/>
  <c r="C6" i="2"/>
</calcChain>
</file>

<file path=xl/sharedStrings.xml><?xml version="1.0" encoding="utf-8"?>
<sst xmlns="http://schemas.openxmlformats.org/spreadsheetml/2006/main" count="1854" uniqueCount="160">
  <si>
    <t>Timestamp</t>
  </si>
  <si>
    <t>Email Address</t>
  </si>
  <si>
    <t>Jenis Kelamin</t>
  </si>
  <si>
    <t>Tahun Lahir</t>
  </si>
  <si>
    <t>Unit Kerja</t>
  </si>
  <si>
    <t>1.  Saya mampu fokus pada tujuan yang jelas</t>
  </si>
  <si>
    <t>2.   Saya mampu mengambil tanggung jawab untuk menyelesaikan masalah</t>
  </si>
  <si>
    <t>3.    Saya berani mengambil risiko dengan penuh perhitungan</t>
  </si>
  <si>
    <t>4. Saya berkemauan keras untuk memperoleh umpan balik atas kinerja</t>
  </si>
  <si>
    <t>5. Saya harus menghasilkan ide-ide yang kreatif, unik dan belum ada sebelumnya</t>
  </si>
  <si>
    <t>6.  Saya mengembangkan dan memperluas ide-ide awal menjadi sesuatu yang lebih komprehensif</t>
  </si>
  <si>
    <t>7. Saya tidak ragu untuk mengusulkan ide atau inovasi baru demi kemajuan organisasi.</t>
  </si>
  <si>
    <t xml:space="preserve">1.   Saya merasa menjadi bagian dari organisasi. </t>
  </si>
  <si>
    <t xml:space="preserve">2.  Saya terikat secara emosional dengan nilai-nilai organisasi. </t>
  </si>
  <si>
    <t>3. Saya menunjukkan loyalitas terhadap organisasi, baik dalam tindakan maupun perkataan.</t>
  </si>
  <si>
    <t>4. Saya bersedia bekerja keras dan memberikan kontribusi terbaik bagi organisasi sebagai rasa tanggung jawab.</t>
  </si>
  <si>
    <t>5.  Saya senang dan bangga menjadi bagian dari organisasi, serta menunjukkan sikap positif terhadap organisasi.</t>
  </si>
  <si>
    <t>6.  Saya terlibat secara aktif dalam aktivitas organisasi dan memberikan dukungan terhadap tujuan organisasi.</t>
  </si>
  <si>
    <t>7. Saya mempertimbangkan untuk meninggalkan pekerjaan karena ada peluang lain yang lebih baik atau tidak puas dengan kondisi saat ini.</t>
  </si>
  <si>
    <t>8. Saya sedang mencari peluang pekerjaan lain di tempat lain.</t>
  </si>
  <si>
    <t xml:space="preserve">9. Saya merasa terikat dengan organisasi karena pekerjaan ini adalah sumber pendapatan utama. </t>
  </si>
  <si>
    <t>10. Saya merasa bersalah atau tidak nyaman jika meninggalkan organisasi, karena memiliki kewajiban moral atau etis untuk tetap berada di organisasi.</t>
  </si>
  <si>
    <t>11. Saya wajib untuk menjaga nama baik organisasi.</t>
  </si>
  <si>
    <t>1.  Saya mampu mengidentifikasi masalah dan menawarkan solusi.</t>
  </si>
  <si>
    <t>2.  Saya selalu berusaha mencari solusi baru tanpa menunggu perintah dari atasan.</t>
  </si>
  <si>
    <t>3.  Saya memiliki keinginan untuk mengembangkan diri dan memperbaiki kinerja secara mandiri.</t>
  </si>
  <si>
    <t>4.  Saya memiliki kesempatan untuk mengambil inisiatif dan keputusan sesuai dengan batas wewenang.</t>
  </si>
  <si>
    <t>5. Saya merasa organisasi memberikan arahan yang jelas mengenai tujuan dan sasaran yang ingin dicapai.</t>
  </si>
  <si>
    <t>6. Saya merasa setiap kebijakan dan prosedur kerja dijelaskan secara transparan kepada seluruh pegawai.</t>
  </si>
  <si>
    <t>7.  Saya merasa ada mekanisme umpan balik yang jelas sehingga dapat menyesuaikan kinerja sesuai arahan.</t>
  </si>
  <si>
    <t>8. Saya merasa seluruh unit kerja dalam organisasi bekerja secara harmonis dan saling mendukung untuk mencapai tujuan bersama.</t>
  </si>
  <si>
    <t>9.  Saya merasakan komunikasi yang efektif dan terbuka antar anggota maupun antar unit kerja di dalam organisasi.</t>
  </si>
  <si>
    <t>10.  Saya menyakini nilai-nilai dan norma organisasi dipahami, diadopsi, dan diterapkan secara konsisten oleh seluruh pegawai.</t>
  </si>
  <si>
    <t>11. Saya yakin konflik yang muncul di lingkungan kerja dapat diselesaikan dengan cara yang konstruktif dan mendukung kolaborasi.</t>
  </si>
  <si>
    <t>12. Saya merasa terdapat rasa kebersamaan dan solidaritas yang tinggi di antara pegawai.</t>
  </si>
  <si>
    <t>13. Saya merasa organisasi memberikan dukungan berupa fasilitas, pelatihan, atau sumber daya yang diperlukan untuk menyelesaikan pekerjaan.</t>
  </si>
  <si>
    <t>14. Saya merasa organisasi terbuka terhadap masukan dan ide dari seluruh pegawai.</t>
  </si>
  <si>
    <t>15.  Saya merasa atasan memberikan apresiasi dan umpan balik yang membangun terhadap kinerja bawahan.</t>
  </si>
  <si>
    <t>16.  Saya merasa pengawasan yang dilakukan oleh atasan berjalan secara teratur dan konsisten.</t>
  </si>
  <si>
    <t xml:space="preserve">17. Saya merasa setiap pelanggaran atau ketidaksesuaian dalam pekerjaan selalu ditindaklanjuti dengan evaluasi dan perbaikan. </t>
  </si>
  <si>
    <t xml:space="preserve">18.  Saya merasa atasan memberikan umpan balik dan arahan untuk memperbaiki kinerja bawahan.     </t>
  </si>
  <si>
    <t xml:space="preserve">19.  Pengawasan yang diterapkan sekarang mendorong saya untuk bekerja lebih disiplin dan bertanggung jawab.        </t>
  </si>
  <si>
    <t xml:space="preserve">1.  Hasil pekerjaan saya sesuai dengan standar yang ditetapkan oleh organisasi.         </t>
  </si>
  <si>
    <t>2.  Rendahnya tingkat kesalahan saya dalam bekerja.</t>
  </si>
  <si>
    <t>3. Jumlah hasil pekerjaan saya selalu memenuhi target yang telah ditetapkan.</t>
  </si>
  <si>
    <t>4.  Saya mampu menyelesaikan beberapa pekerjaan dalam satu waktu tertentu.</t>
  </si>
  <si>
    <t>5. Jumlah beban kerja saya sesuai dengan standar organisasi.</t>
  </si>
  <si>
    <t>6.  Saya selalu hadir di kantor  sebelum atau maksimal pukul 8.00 pagi.</t>
  </si>
  <si>
    <t>7.   Melihat atasan/rekan kerja datang sering datang terlambat, membuat saya merasa aman/tenang jika hadir terlambat di kantor.</t>
  </si>
  <si>
    <t>8. Saya dapat mengelola waktu kerja sehingga tidak terjadi penundaan dalam penyelesaian tugas.</t>
  </si>
  <si>
    <t>9.  Delapan jam waktu kerja saya optimalkan untuk fokus menuntaskan pekerjaan.</t>
  </si>
  <si>
    <t>10.  Saya selalu saling membantu dan mendukung dengan rekan kerja.</t>
  </si>
  <si>
    <t>11.  Saya berpartisipasi aktif dalam diskusi atau rapat.</t>
  </si>
  <si>
    <t>12.  Saya menjaga  komunikasi yang baik dan terbuka dengan rekan kerja.</t>
  </si>
  <si>
    <t>13.  Saya mampu melakukan koordinasi yang efektif dengan rekan kerja.</t>
  </si>
  <si>
    <t>Perempuan</t>
  </si>
  <si>
    <t>6-10 tahun</t>
  </si>
  <si>
    <t>Dit. Soskam</t>
  </si>
  <si>
    <t>Setuju</t>
  </si>
  <si>
    <t>Ragu-ragu</t>
  </si>
  <si>
    <t>Tidak Setuju</t>
  </si>
  <si>
    <t>Sangat Setuju</t>
  </si>
  <si>
    <t>11-15 tahun</t>
  </si>
  <si>
    <t>Dit. Permas</t>
  </si>
  <si>
    <t>apresiasi atas pencapaian baik secara verbal maupun melalui reward yang sesuai sangat sekali diperlukan dalam meningkatkan motivasi pegawi</t>
  </si>
  <si>
    <t xml:space="preserve">kondusifitas lingkungan kerja pada pegawai sangat mempengaruhi komitmen </t>
  </si>
  <si>
    <t>membangun transparansi, pemberian wewenang kepada karyawan, mendorong kerja sama, menciptakan lingkungan kerja fleksibel, dan memberikan serta menerima umpan balik. Selain itu, penting juga untuk menjaga etos kerja</t>
  </si>
  <si>
    <t>tesm work yang baik sangat efektif dalam meningkatkan kinerja yang baik</t>
  </si>
  <si>
    <t>Setdikmas</t>
  </si>
  <si>
    <t>1-5 tahun</t>
  </si>
  <si>
    <t>Bagi masing-masing pegawai perlu terus menerus meningkatkan kemampuan dan kinerja dan bersedia menerima umpan balik untuk perbaikan dan juga bangun lingkungan kerja yang suportif, adil dan dinamis. 
Pimpinan kedeputian perlu mengambil peran strategis dalam menciptakan kultur organisasi yang mendorong pencapaian, inovasi, dan rasa bangga terhadap kontribusi masing-masing pegawai.</t>
  </si>
  <si>
    <t>Masing-masing pegawai perlu lebih keras lagi bekerja dengan penuh tanggung jawab, menjaga nilai-nilai organisasi dan menghindari konflik kepentingan karena komitmen pegawai menjadi fondasi bagi efektivitas kepemimpinan.</t>
  </si>
  <si>
    <t>Bagi masing-masing pegawai perlu lebih menjaga nilai dasar budaya organisasi terutama integritas perlu dijunjung tinggi.
Budaya organisasi harus hidup dalam praktik harian, keputusan strategis, serta interaksi antara pegawai dan pimpinan.</t>
  </si>
  <si>
    <t xml:space="preserve">Bagi masing-masing pegawai perluasan penguatan kompetensi teknis dan spesialisasi, peningkatan koordinasi dan kolaborasi internal, serta optimalisasi teknologi dan digitalisasi proses kerja.
</t>
  </si>
  <si>
    <t>Laki-laki</t>
  </si>
  <si>
    <t>&gt; 15 tahun</t>
  </si>
  <si>
    <t>Diberikan reward jika ada pegawai yg berprestasi</t>
  </si>
  <si>
    <t>Sangat Tidak Setuju</t>
  </si>
  <si>
    <t>Tidak</t>
  </si>
  <si>
    <t>Bagi saya, motivasi berprestasi akan tumbuh dalam tiap individu di Depdikmas apabila mereka diberikan peran yang jelas dan spesifik dalam upaya mencapai tujuan bersama.</t>
  </si>
  <si>
    <t>Tidak ada komentar/saran yang spesifik terkait faktor Komitmen.</t>
  </si>
  <si>
    <t>Sebagai anggota baru organisasi, saya merasa masih kesulitan untuk "menavigasi" iklim organisasi alias kagok, mengingat pengalaman saya bekerja sebelumnya, yaitu di organisasi yang jauh lebih kecil. Di sini, sering kali saya terhalang oleh rasa sungkan untuk mengambil inisiatif tertentu akibat 1) banyaknya pegawai lain, yang masing-masing memiliki level keterbukaan/penerimaan tertentu terhadap, misalnya, ide yang saya usulkan, serta 2) kultur birokratik yang bagi saya terlalu berbelit-belit.</t>
  </si>
  <si>
    <t>Akan lebih baik jika sekat antarpegawai dan antarperan (yang biasa disebut silo) dapat dilebur.</t>
  </si>
  <si>
    <t>Semoga semakin solid👍</t>
  </si>
  <si>
    <t xml:space="preserve">Lebih terbuka terhadap ide-ide akan inovasi baru yang dapat membantu mempermudah pekerjaan. Mungkin juga bisa dengan memberikan tanggungjawab dalam 1 proyek hingga proyek tersebut selesai. </t>
  </si>
  <si>
    <t>-</t>
  </si>
  <si>
    <t>Selalu mengingat dan berusaha menjaga tanggung jawab atas pekerjaan yang diamanahkan</t>
  </si>
  <si>
    <t xml:space="preserve">Sebaiknya pegawai berprestasi diberikan kesempatan lebih banyak daripada pegawai yg biasa biasa saja </t>
  </si>
  <si>
    <t xml:space="preserve">Apabila ada oknum2 pegawai yg melanggar idealnya segera diumumkan dan dipecat </t>
  </si>
  <si>
    <t>Budaya organisasi adalah budaya KPK, pegawai yg berasal dari LUAR KPK tidak diperkenankan membawa budaya asalnya ke KPK</t>
  </si>
  <si>
    <t>Harus saling percaya antar pegawai KPK</t>
  </si>
  <si>
    <t>Terkait ide dan inovasi, diperlukan dukungan atasan dimana pencetus ide jika idenya relevan dan feasible untuk kepentingan unit perlu didukung dengan sumber daya, bukan menjadi single fighter ide tersebut, sepertinya dengan begitu pegawai akan lebih termotivasi untuk meningkatkan prestasi</t>
  </si>
  <si>
    <t>Dit. Jardik</t>
  </si>
  <si>
    <t>Berikan penghargaan dan pengakuan untuk pegawai yang yang produktif dan berprestasi</t>
  </si>
  <si>
    <t>Berikan kesempatan pegawai untuk berkembang dan perhatikan kesejahteraan pegawai</t>
  </si>
  <si>
    <t>Sangat penting untuk membangun lingkungan kerja yang positif, menghargai setiap kontribusi dari masing - masing unit kerja di Depdikmas</t>
  </si>
  <si>
    <t xml:space="preserve">Semoga Depdikmas makin solid </t>
  </si>
  <si>
    <t>Motivasi berprestasi merupakan nilai dasar KPK, yaitu profesionalisme, dengan bekerja kreatif, inovatif, tanggung jawab, mitigasi risiko dan akuntabel.</t>
  </si>
  <si>
    <t>Komitmen berkelanjutan pegawai didasari atas ikatan emosional dari tujuan keberadaan organisasi yang sejalan dengn nilai yang diyakini pegawai.</t>
  </si>
  <si>
    <t>Budaya organisasi akan efektif terimplementasi dengan keteladanan dari pimpinan/atasan di semua tingkatan.</t>
  </si>
  <si>
    <t>Kinerja pegawai akan efektif dan efisien dengan terinternalisasinya indikator kinerja utama unit kerja sampai dengan indikator kinerja masing-masing individu yang berkontribusi dalam pencapaian output dan outcome sesuai tingkatan sasaran kinerja.</t>
  </si>
  <si>
    <t>Kalau boleh jujur, motivasi berprestasi yang seperti apa yang diharapkan kalau dari internal ? karena kemampuan dan kreativitas yang perlu ditingkatkan itu untuk mengikuti perkembangan yang ada di masyarakat, sehingga program yang dilakukan akan lebih cocok untuk masyarakat. Pada akhirnya, meningkatkan kemampuan dan kreativitas implikasi langsung pertama ya ke masyarakat</t>
  </si>
  <si>
    <t>Selama menjadi pegawai tentu komitmen terikat dengan seluruh nilai dan etika yang diterapkan organisasi. Dan pegawai wajib menjaga nama baik oraganisasi. Akan tetapi setiap individu dan organisasi tidak boleh menutup kesempatan untuk bisa mengembangkan potensi individu tersebut di tempat lain. Terlepas dari segala jenis issue yang sedang dihadapi oleh organisasi.</t>
  </si>
  <si>
    <t xml:space="preserve">Komunikasi antar pegawai unit kerja tidak selalu mulus, miscomm itu pasti terjadi, ditambah dengan ada unit kerja yang perlu menjaga kerahasiaan tingkat tinggi, sehingga komunikasi terkadang hanya diterima satu arah yang sama dengan yang diterima masyarakat. </t>
  </si>
  <si>
    <t>semua melakukan pekerjaan sesuai dengan tugasnya masing-masing. treatmentnya bagaimana, tentu diserahkan kepada masing-masing individu</t>
  </si>
  <si>
    <t>Motivasi tidak hanya diberikan saat apel, namun juga setiap saat oleh direktur</t>
  </si>
  <si>
    <t>Kreativitas dgn etika bermartabat</t>
  </si>
  <si>
    <t>Komitmen adalah janji yg tdk tertulis</t>
  </si>
  <si>
    <t>Lingkungan kerja sangat berpengaruh dgn motivasi dan prestasi kerja</t>
  </si>
  <si>
    <t>Dimanapun dan pekerjaan apapun harus selalu berkomitmen, demi kemajuan organisasi</t>
  </si>
  <si>
    <t xml:space="preserve">Budyaa organisasi di Depdikmas menerapkan egaliter dan integritas, dikarenakan sbg pendidikan ke masyarakat harus memberikan contoh yang baik. </t>
  </si>
  <si>
    <t>Menurutnya saya hal utama dalam bekerja adalah disiplin</t>
  </si>
  <si>
    <t>Motivasi juga dapat dipengaruhi oleh lingkungan kerja</t>
  </si>
  <si>
    <t>Budaya, tujuan yg baik atau kurang baik dr organisasi juga mempengaruhi rasa emosional, loyalitas terhadap organisasi</t>
  </si>
  <si>
    <t>Dukungan rekan kerja dan lingkungan sangat berpengaruh terhadap pegawai dalam motivasi berprestasi</t>
  </si>
  <si>
    <t xml:space="preserve">Pegawai diharapkan mencintai dan menjadi bagian dalam organisasi </t>
  </si>
  <si>
    <t>Reward perlu diberikan dan diperjelas</t>
  </si>
  <si>
    <t>Harus lebih pasti dalam menetapkan target kerja yang lebih baik dan konsisten</t>
  </si>
  <si>
    <t>Sudah baik</t>
  </si>
  <si>
    <t>No</t>
  </si>
  <si>
    <t xml:space="preserve">Masa kerja </t>
  </si>
  <si>
    <t>Apakah ada komentar atau saran terkait Motivasi Berprestasi pegawai di lingkup XXX ?</t>
  </si>
  <si>
    <t>Apakah ada komentar atau saran terkait Komitmen pegawai di lingkup XXX ?</t>
  </si>
  <si>
    <t>Apakah ada komentar atau saran terkait penerapan Budaya Organisasi di lingkup XXX ?</t>
  </si>
  <si>
    <t>Apakah ada komentar atau saran terkait Kinerja Pegawai di lingkup XXX?</t>
  </si>
  <si>
    <t>A</t>
  </si>
  <si>
    <t>B</t>
  </si>
  <si>
    <t>C</t>
  </si>
  <si>
    <t>D</t>
  </si>
  <si>
    <t>E</t>
  </si>
  <si>
    <t>F</t>
  </si>
  <si>
    <t>G</t>
  </si>
  <si>
    <t>H</t>
  </si>
  <si>
    <t>I</t>
  </si>
  <si>
    <t>J</t>
  </si>
  <si>
    <t>K</t>
  </si>
  <si>
    <t>L</t>
  </si>
  <si>
    <t>M</t>
  </si>
  <si>
    <t>N</t>
  </si>
  <si>
    <t>O</t>
  </si>
  <si>
    <t>P</t>
  </si>
  <si>
    <t>Q</t>
  </si>
  <si>
    <t>R</t>
  </si>
  <si>
    <t>S</t>
  </si>
  <si>
    <t>T</t>
  </si>
  <si>
    <t>U</t>
  </si>
  <si>
    <t>V</t>
  </si>
  <si>
    <t>W</t>
  </si>
  <si>
    <t>X</t>
  </si>
  <si>
    <t>Y</t>
  </si>
  <si>
    <t>Z</t>
  </si>
  <si>
    <t>AA</t>
  </si>
  <si>
    <t>AB</t>
  </si>
  <si>
    <t>AC</t>
  </si>
  <si>
    <t>AD</t>
  </si>
  <si>
    <t>AE</t>
  </si>
  <si>
    <t>AF</t>
  </si>
  <si>
    <t>Jumlah</t>
  </si>
  <si>
    <t>Masa Kerja</t>
  </si>
  <si>
    <t>&gt;15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</si>
</sst>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7" x14ac:knownFonts="1">
    <font>
      <sz val="10"/>
      <color rgb="FF000000"/>
      <name val="Arial"/>
      <scheme val="minor"/>
    </font>
    <font>
      <sz val="10"/>
      <color theme="1"/>
      <name val="Arial"/>
      <family val="2"/>
      <scheme val="minor"/>
    </font>
    <font>
      <sz val="10"/>
      <color rgb="FF000000"/>
      <name val="Arial"/>
      <family val="2"/>
      <scheme val="minor"/>
    </font>
    <font>
      <u/>
      <sz val="10"/>
      <color theme="10"/>
      <name val="Arial"/>
      <family val="2"/>
      <scheme val="minor"/>
    </font>
    <font>
      <sz val="10"/>
      <color theme="10"/>
      <name val="Arial"/>
      <family val="2"/>
      <scheme val="minor"/>
    </font>
    <font>
      <sz val="10"/>
      <color theme="1"/>
      <name val="Arial"/>
      <family val="2"/>
      <scheme val="minor"/>
    </font>
    <font>
      <sz val="10"/>
      <color rgb="FF000000"/>
      <name val="Arial"/>
      <family val="2"/>
      <scheme val="minor"/>
    </font>
  </fonts>
  <fills count="3">
    <fill>
      <patternFill patternType="none"/>
    </fill>
    <fill>
      <patternFill patternType="gray125"/>
    </fill>
    <fill>
      <patternFill patternType="solid">
        <fgColor theme="0" tint="-0.14999847407452621"/>
        <bgColor indexed="64"/>
      </patternFill>
    </fill>
  </fills>
  <borders count="13">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8F9FA"/>
      </right>
      <top style="thin">
        <color rgb="FFF8F9FA"/>
      </top>
      <bottom style="thin">
        <color rgb="FF442F65"/>
      </bottom>
      <diagonal/>
    </border>
    <border>
      <left style="thin">
        <color rgb="FFF8F9FA"/>
      </left>
      <right style="thin">
        <color rgb="FFF8F9FA"/>
      </right>
      <top style="thin">
        <color rgb="FFF8F9FA"/>
      </top>
      <bottom style="thin">
        <color rgb="FF442F65"/>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2" fillId="0" borderId="0" applyFont="0" applyFill="0" applyBorder="0" applyAlignment="0" applyProtection="0"/>
    <xf numFmtId="0" fontId="3" fillId="0" borderId="0" applyNumberFormat="0" applyFill="0" applyBorder="0" applyAlignment="0" applyProtection="0"/>
  </cellStyleXfs>
  <cellXfs count="22">
    <xf numFmtId="0" fontId="0" fillId="0" borderId="0" xfId="0"/>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164" fontId="1" fillId="0" borderId="10" xfId="0" applyNumberFormat="1" applyFont="1" applyBorder="1" applyAlignment="1">
      <alignment vertical="center"/>
    </xf>
    <xf numFmtId="0" fontId="1" fillId="0" borderId="11" xfId="0" applyFont="1" applyBorder="1" applyAlignment="1">
      <alignment vertical="center"/>
    </xf>
    <xf numFmtId="0" fontId="0" fillId="2" borderId="0" xfId="0" applyFill="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4" fillId="0" borderId="5" xfId="2" applyFont="1" applyBorder="1" applyAlignment="1">
      <alignment vertical="center"/>
    </xf>
    <xf numFmtId="0" fontId="5" fillId="0" borderId="5" xfId="0" applyFont="1" applyBorder="1" applyAlignment="1">
      <alignment vertical="center"/>
    </xf>
    <xf numFmtId="0" fontId="5" fillId="0" borderId="8" xfId="0" applyFont="1" applyBorder="1" applyAlignment="1">
      <alignment vertical="center"/>
    </xf>
    <xf numFmtId="0" fontId="5" fillId="0" borderId="11" xfId="0" applyFont="1" applyBorder="1" applyAlignment="1">
      <alignment vertical="center"/>
    </xf>
    <xf numFmtId="0" fontId="6" fillId="0" borderId="12" xfId="0" applyFont="1" applyBorder="1" applyAlignment="1">
      <alignment horizontal="center" vertical="center"/>
    </xf>
    <xf numFmtId="0" fontId="6" fillId="0" borderId="12" xfId="0" applyFont="1" applyBorder="1"/>
    <xf numFmtId="0" fontId="0" fillId="0" borderId="12" xfId="0" applyBorder="1"/>
    <xf numFmtId="0" fontId="6" fillId="0" borderId="12" xfId="0" applyFont="1" applyBorder="1" applyAlignment="1">
      <alignment horizontal="center"/>
    </xf>
    <xf numFmtId="10" fontId="0" fillId="0" borderId="0" xfId="1" applyNumberFormat="1" applyFont="1"/>
  </cellXfs>
  <cellStyles count="3">
    <cellStyle name="Hyperlink" xfId="2" builtinId="8"/>
    <cellStyle name="Normal" xfId="0" builtinId="0"/>
    <cellStyle name="Percent" xfId="1" builtinId="5"/>
  </cellStyles>
  <dxfs count="4">
    <dxf>
      <fill>
        <patternFill patternType="solid">
          <fgColor indexed="64"/>
          <bgColor theme="0" tint="-0.14999847407452621"/>
        </patternFill>
      </fill>
      <alignment horizontal="center" vertical="center" textRotation="0" wrapText="1"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D"/>
              <a:t>Jumlah Responden</a:t>
            </a:r>
          </a:p>
        </c:rich>
      </c:tx>
      <c:overlay val="0"/>
      <c:spPr>
        <a:solidFill>
          <a:schemeClr val="tx1">
            <a:lumMod val="50000"/>
            <a:lumOff val="50000"/>
          </a:schemeClr>
        </a:solid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pieChart>
        <c:varyColors val="0"/>
        <c:ser>
          <c:idx val="0"/>
          <c:order val="0"/>
          <c:tx>
            <c:strRef>
              <c:f>Sheet1!$C$3</c:f>
              <c:strCache>
                <c:ptCount val="1"/>
                <c:pt idx="0">
                  <c:v>Jumlah</c:v>
                </c:pt>
              </c:strCache>
            </c:strRef>
          </c:tx>
          <c:spPr>
            <a:solidFill>
              <a:schemeClr val="lt1"/>
            </a:solidFill>
            <a:ln w="19050">
              <a:solidFill>
                <a:schemeClr val="accent1"/>
              </a:solidFill>
            </a:ln>
            <a:effectLst/>
          </c:spPr>
          <c:dPt>
            <c:idx val="0"/>
            <c:bubble3D val="0"/>
            <c:spPr>
              <a:solidFill>
                <a:srgbClr val="FF0000"/>
              </a:solidFill>
              <a:ln w="19050">
                <a:solidFill>
                  <a:schemeClr val="accent1"/>
                </a:solidFill>
              </a:ln>
              <a:effectLst/>
            </c:spPr>
            <c:extLst>
              <c:ext xmlns:c16="http://schemas.microsoft.com/office/drawing/2014/chart" uri="{C3380CC4-5D6E-409C-BE32-E72D297353CC}">
                <c16:uniqueId val="{00000001-997A-41A4-8CCB-7FF40304767E}"/>
              </c:ext>
            </c:extLst>
          </c:dPt>
          <c:dPt>
            <c:idx val="1"/>
            <c:bubble3D val="0"/>
            <c:spPr>
              <a:solidFill>
                <a:schemeClr val="accent1">
                  <a:lumMod val="60000"/>
                  <a:lumOff val="40000"/>
                </a:schemeClr>
              </a:solidFill>
              <a:ln w="19050">
                <a:solidFill>
                  <a:schemeClr val="accent1"/>
                </a:solidFill>
              </a:ln>
              <a:effectLst/>
            </c:spPr>
            <c:extLst>
              <c:ext xmlns:c16="http://schemas.microsoft.com/office/drawing/2014/chart" uri="{C3380CC4-5D6E-409C-BE32-E72D297353CC}">
                <c16:uniqueId val="{00000002-997A-41A4-8CCB-7FF40304767E}"/>
              </c:ext>
            </c:extLst>
          </c:dPt>
          <c:dLbls>
            <c:dLbl>
              <c:idx val="0"/>
              <c:layout>
                <c:manualLayout>
                  <c:x val="-0.1701159230096238"/>
                  <c:y val="7.4447360746573349E-2"/>
                </c:manualLayout>
              </c:layout>
              <c:tx>
                <c:rich>
                  <a:bodyPr/>
                  <a:lstStyle/>
                  <a:p>
                    <a:fld id="{4753C77C-E09B-4F9F-B341-6A3312FC32D0}" type="CATEGORYNAME">
                      <a:rPr lang="en-US"/>
                      <a:pPr/>
                      <a:t>[CATEGORY NAME]</a:t>
                    </a:fld>
                    <a:r>
                      <a:rPr lang="en-US"/>
                      <a:t>,</a:t>
                    </a:r>
                    <a:r>
                      <a:rPr lang="en-US" baseline="0"/>
                      <a:t>
12 (</a:t>
                    </a:r>
                    <a:fld id="{998456B1-447F-44CD-9493-583B7F6BC380}" type="PERCENTAGE">
                      <a:rPr lang="en-US" baseline="0"/>
                      <a:pPr/>
                      <a:t>[PERCENTAGE]</a:t>
                    </a:fld>
                    <a:r>
                      <a:rPr lang="en-US" baseline="0"/>
                      <a:t>)</a:t>
                    </a: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97A-41A4-8CCB-7FF40304767E}"/>
                </c:ext>
              </c:extLst>
            </c:dLbl>
            <c:dLbl>
              <c:idx val="1"/>
              <c:layout>
                <c:manualLayout>
                  <c:x val="0.18993547681539802"/>
                  <c:y val="-0.2119167395742198"/>
                </c:manualLayout>
              </c:layout>
              <c:tx>
                <c:rich>
                  <a:bodyPr/>
                  <a:lstStyle/>
                  <a:p>
                    <a:fld id="{B8871941-FAF4-4D38-9D0D-4B35E3C9BAB8}" type="CATEGORYNAME">
                      <a:rPr lang="en-US"/>
                      <a:pPr/>
                      <a:t>[CATEGORY NAME]</a:t>
                    </a:fld>
                    <a:r>
                      <a:rPr lang="en-US"/>
                      <a:t>,</a:t>
                    </a:r>
                    <a:r>
                      <a:rPr lang="en-US" baseline="0"/>
                      <a:t>
  20 (</a:t>
                    </a:r>
                    <a:fld id="{AD97A0A0-7CFA-435A-81CE-7A318CACA0AE}" type="PERCENTAGE">
                      <a:rPr lang="en-US" baseline="0"/>
                      <a:pPr/>
                      <a:t>[PERCENTAGE]</a:t>
                    </a:fld>
                    <a:r>
                      <a:rPr lang="en-US" baseline="0"/>
                      <a:t>)</a:t>
                    </a: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997A-41A4-8CCB-7FF40304767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Sheet1!$B$4:$B$5</c:f>
              <c:strCache>
                <c:ptCount val="2"/>
                <c:pt idx="0">
                  <c:v>Laki-laki</c:v>
                </c:pt>
                <c:pt idx="1">
                  <c:v>Perempuan</c:v>
                </c:pt>
              </c:strCache>
            </c:strRef>
          </c:cat>
          <c:val>
            <c:numRef>
              <c:f>Sheet1!$C$4:$C$5</c:f>
              <c:numCache>
                <c:formatCode>General</c:formatCode>
                <c:ptCount val="2"/>
                <c:pt idx="0">
                  <c:v>12</c:v>
                </c:pt>
                <c:pt idx="1">
                  <c:v>20</c:v>
                </c:pt>
              </c:numCache>
            </c:numRef>
          </c:val>
          <c:extLst>
            <c:ext xmlns:c16="http://schemas.microsoft.com/office/drawing/2014/chart" uri="{C3380CC4-5D6E-409C-BE32-E72D297353CC}">
              <c16:uniqueId val="{00000000-997A-41A4-8CCB-7FF40304767E}"/>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Masa Kerja Pegawai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Sheet1!$C$24</c:f>
              <c:strCache>
                <c:ptCount val="1"/>
                <c:pt idx="0">
                  <c:v>Jumlah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0109-4419-A5CD-1278B63ADE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0109-4419-A5CD-1278B63ADE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0109-4419-A5CD-1278B63ADE2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1-0109-4419-A5CD-1278B63ADE2C}"/>
              </c:ext>
            </c:extLst>
          </c:dPt>
          <c:dLbls>
            <c:dLbl>
              <c:idx val="0"/>
              <c:tx>
                <c:rich>
                  <a:bodyPr/>
                  <a:lstStyle/>
                  <a:p>
                    <a:fld id="{7E1F82EC-88B8-467C-94A4-01BA241CBF21}" type="CATEGORYNAME">
                      <a:rPr lang="en-US" baseline="0"/>
                      <a:pPr/>
                      <a:t>[CATEGORY NAME]</a:t>
                    </a:fld>
                    <a:endParaRPr lang="en-US" baseline="0"/>
                  </a:p>
                  <a:p>
                    <a:r>
                      <a:rPr lang="en-US" baseline="0"/>
                      <a:t>(31,25%)</a:t>
                    </a:r>
                  </a:p>
                </c:rich>
              </c:tx>
              <c:showLegendKey val="0"/>
              <c:showVal val="1"/>
              <c:showCatName val="1"/>
              <c:showSerName val="1"/>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0109-4419-A5CD-1278B63ADE2C}"/>
                </c:ext>
              </c:extLst>
            </c:dLbl>
            <c:dLbl>
              <c:idx val="1"/>
              <c:layout>
                <c:manualLayout>
                  <c:x val="-7.194302274715661E-2"/>
                  <c:y val="-0.2062962962962962"/>
                </c:manualLayout>
              </c:layout>
              <c:tx>
                <c:rich>
                  <a:bodyPr/>
                  <a:lstStyle/>
                  <a:p>
                    <a:fld id="{57800C7F-A7B3-405F-8622-01A0C18BCA9B}" type="CATEGORYNAME">
                      <a:rPr lang="en-US" baseline="0"/>
                      <a:pPr/>
                      <a:t>[CATEGORY NAME]</a:t>
                    </a:fld>
                    <a:endParaRPr lang="en-US" baseline="0"/>
                  </a:p>
                  <a:p>
                    <a:r>
                      <a:rPr lang="en-US" baseline="0"/>
                      <a:t>(31,25%)</a:t>
                    </a:r>
                  </a:p>
                </c:rich>
              </c:tx>
              <c:showLegendKey val="0"/>
              <c:showVal val="1"/>
              <c:showCatName val="1"/>
              <c:showSerName val="1"/>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0109-4419-A5CD-1278B63ADE2C}"/>
                </c:ext>
              </c:extLst>
            </c:dLbl>
            <c:dLbl>
              <c:idx val="2"/>
              <c:tx>
                <c:rich>
                  <a:bodyPr/>
                  <a:lstStyle/>
                  <a:p>
                    <a:fld id="{9CC66F21-28F8-473A-B335-E8184A799605}" type="CATEGORYNAME">
                      <a:rPr lang="en-US" baseline="0"/>
                      <a:pPr/>
                      <a:t>[CATEGORY NAME]</a:t>
                    </a:fld>
                    <a:endParaRPr lang="en-US" baseline="0"/>
                  </a:p>
                  <a:p>
                    <a:r>
                      <a:rPr lang="en-US" baseline="0"/>
                      <a:t>(15,63%)</a:t>
                    </a:r>
                  </a:p>
                </c:rich>
              </c:tx>
              <c:showLegendKey val="0"/>
              <c:showVal val="1"/>
              <c:showCatName val="1"/>
              <c:showSerName val="1"/>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109-4419-A5CD-1278B63ADE2C}"/>
                </c:ext>
              </c:extLst>
            </c:dLbl>
            <c:dLbl>
              <c:idx val="3"/>
              <c:tx>
                <c:rich>
                  <a:bodyPr/>
                  <a:lstStyle/>
                  <a:p>
                    <a:r>
                      <a:rPr lang="en-US" baseline="0"/>
                      <a:t> </a:t>
                    </a:r>
                    <a:fld id="{5619B8A6-65B6-4636-BFD8-2EAA7C6E1B01}" type="CATEGORYNAME">
                      <a:rPr lang="en-US" baseline="0"/>
                      <a:pPr/>
                      <a:t>[CATEGORY NAME]</a:t>
                    </a:fld>
                    <a:r>
                      <a:rPr lang="en-US" baseline="0"/>
                      <a:t>;  (21,88%)</a:t>
                    </a:r>
                  </a:p>
                </c:rich>
              </c:tx>
              <c:showLegendKey val="0"/>
              <c:showVal val="1"/>
              <c:showCatName val="1"/>
              <c:showSerName val="1"/>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109-4419-A5CD-1278B63ADE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Sheet1!$B$25:$B$28</c:f>
              <c:strCache>
                <c:ptCount val="4"/>
                <c:pt idx="0">
                  <c:v>1-5 tahun</c:v>
                </c:pt>
                <c:pt idx="1">
                  <c:v>6-10 tahun</c:v>
                </c:pt>
                <c:pt idx="2">
                  <c:v>11-15 tahun</c:v>
                </c:pt>
                <c:pt idx="3">
                  <c:v>&gt;15 tahun</c:v>
                </c:pt>
              </c:strCache>
            </c:strRef>
          </c:cat>
          <c:val>
            <c:numRef>
              <c:f>Sheet1!$C$25:$C$28</c:f>
              <c:numCache>
                <c:formatCode>General</c:formatCode>
                <c:ptCount val="4"/>
                <c:pt idx="0">
                  <c:v>10</c:v>
                </c:pt>
                <c:pt idx="1">
                  <c:v>10</c:v>
                </c:pt>
                <c:pt idx="2">
                  <c:v>5</c:v>
                </c:pt>
                <c:pt idx="3">
                  <c:v>7</c:v>
                </c:pt>
              </c:numCache>
            </c:numRef>
          </c:val>
          <c:extLst>
            <c:ext xmlns:c16="http://schemas.microsoft.com/office/drawing/2014/chart" uri="{C3380CC4-5D6E-409C-BE32-E72D297353CC}">
              <c16:uniqueId val="{00000000-0109-4419-A5CD-1278B63ADE2C}"/>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600075</xdr:colOff>
      <xdr:row>2</xdr:row>
      <xdr:rowOff>0</xdr:rowOff>
    </xdr:from>
    <xdr:to>
      <xdr:col>11</xdr:col>
      <xdr:colOff>295275</xdr:colOff>
      <xdr:row>18</xdr:row>
      <xdr:rowOff>152400</xdr:rowOff>
    </xdr:to>
    <xdr:graphicFrame macro="">
      <xdr:nvGraphicFramePr>
        <xdr:cNvPr id="2" name="Chart 1">
          <a:extLst>
            <a:ext uri="{FF2B5EF4-FFF2-40B4-BE49-F238E27FC236}">
              <a16:creationId xmlns:a16="http://schemas.microsoft.com/office/drawing/2014/main" id="{37A4211B-B52A-51C1-BBAA-37866CDF73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14287</xdr:colOff>
      <xdr:row>23</xdr:row>
      <xdr:rowOff>0</xdr:rowOff>
    </xdr:from>
    <xdr:to>
      <xdr:col>13</xdr:col>
      <xdr:colOff>319087</xdr:colOff>
      <xdr:row>39</xdr:row>
      <xdr:rowOff>152400</xdr:rowOff>
    </xdr:to>
    <xdr:graphicFrame macro="">
      <xdr:nvGraphicFramePr>
        <xdr:cNvPr id="3" name="Chart 2">
          <a:extLst>
            <a:ext uri="{FF2B5EF4-FFF2-40B4-BE49-F238E27FC236}">
              <a16:creationId xmlns:a16="http://schemas.microsoft.com/office/drawing/2014/main" id="{2EA831AA-99D8-9285-6778-7873D727A2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B1:BI33" headerRowDxfId="0">
  <autoFilter ref="B1:BI33" xr:uid="{00000000-000C-0000-FFFF-FFFF00000000}"/>
  <tableColumns count="60">
    <tableColumn id="1" xr3:uid="{00000000-0010-0000-0000-000001000000}" name="Timestamp"/>
    <tableColumn id="2" xr3:uid="{00000000-0010-0000-0000-000002000000}" name="Email Address"/>
    <tableColumn id="3" xr3:uid="{00000000-0010-0000-0000-000003000000}" name="Jenis Kelamin"/>
    <tableColumn id="4" xr3:uid="{00000000-0010-0000-0000-000004000000}" name="Tahun Lahir"/>
    <tableColumn id="5" xr3:uid="{00000000-0010-0000-0000-000005000000}" name="Masa kerja "/>
    <tableColumn id="6" xr3:uid="{00000000-0010-0000-0000-000006000000}" name="Unit Kerja"/>
    <tableColumn id="7" xr3:uid="{00000000-0010-0000-0000-000007000000}" name="1.  Saya mampu fokus pada tujuan yang jelas"/>
    <tableColumn id="8" xr3:uid="{00000000-0010-0000-0000-000008000000}" name="2.   Saya mampu mengambil tanggung jawab untuk menyelesaikan masalah"/>
    <tableColumn id="9" xr3:uid="{00000000-0010-0000-0000-000009000000}" name="3.    Saya berani mengambil risiko dengan penuh perhitungan"/>
    <tableColumn id="10" xr3:uid="{00000000-0010-0000-0000-00000A000000}" name="4. Saya berkemauan keras untuk memperoleh umpan balik atas kinerja"/>
    <tableColumn id="11" xr3:uid="{00000000-0010-0000-0000-00000B000000}" name="5. Saya harus menghasilkan ide-ide yang kreatif, unik dan belum ada sebelumnya"/>
    <tableColumn id="12" xr3:uid="{00000000-0010-0000-0000-00000C000000}" name="6.  Saya mengembangkan dan memperluas ide-ide awal menjadi sesuatu yang lebih komprehensif"/>
    <tableColumn id="13" xr3:uid="{00000000-0010-0000-0000-00000D000000}" name="7. Saya tidak ragu untuk mengusulkan ide atau inovasi baru demi kemajuan organisasi."/>
    <tableColumn id="14" xr3:uid="{00000000-0010-0000-0000-00000E000000}" name="Apakah ada komentar atau saran terkait Motivasi Berprestasi pegawai di lingkup XXX ?"/>
    <tableColumn id="15" xr3:uid="{00000000-0010-0000-0000-00000F000000}" name="1.   Saya merasa menjadi bagian dari organisasi. "/>
    <tableColumn id="16" xr3:uid="{00000000-0010-0000-0000-000010000000}" name="2.  Saya terikat secara emosional dengan nilai-nilai organisasi. "/>
    <tableColumn id="17" xr3:uid="{00000000-0010-0000-0000-000011000000}" name="3. Saya menunjukkan loyalitas terhadap organisasi, baik dalam tindakan maupun perkataan."/>
    <tableColumn id="18" xr3:uid="{00000000-0010-0000-0000-000012000000}" name="4. Saya bersedia bekerja keras dan memberikan kontribusi terbaik bagi organisasi sebagai rasa tanggung jawab."/>
    <tableColumn id="19" xr3:uid="{00000000-0010-0000-0000-000013000000}" name="5.  Saya senang dan bangga menjadi bagian dari organisasi, serta menunjukkan sikap positif terhadap organisasi."/>
    <tableColumn id="20" xr3:uid="{00000000-0010-0000-0000-000014000000}" name="6.  Saya terlibat secara aktif dalam aktivitas organisasi dan memberikan dukungan terhadap tujuan organisasi."/>
    <tableColumn id="21" xr3:uid="{00000000-0010-0000-0000-000015000000}" name="7. Saya mempertimbangkan untuk meninggalkan pekerjaan karena ada peluang lain yang lebih baik atau tidak puas dengan kondisi saat ini."/>
    <tableColumn id="22" xr3:uid="{00000000-0010-0000-0000-000016000000}" name="8. Saya sedang mencari peluang pekerjaan lain di tempat lain."/>
    <tableColumn id="23" xr3:uid="{00000000-0010-0000-0000-000017000000}" name="9. Saya merasa terikat dengan organisasi karena pekerjaan ini adalah sumber pendapatan utama. "/>
    <tableColumn id="24" xr3:uid="{00000000-0010-0000-0000-000018000000}" name="10. Saya merasa bersalah atau tidak nyaman jika meninggalkan organisasi, karena memiliki kewajiban moral atau etis untuk tetap berada di organisasi."/>
    <tableColumn id="25" xr3:uid="{00000000-0010-0000-0000-000019000000}" name="11. Saya wajib untuk menjaga nama baik organisasi."/>
    <tableColumn id="26" xr3:uid="{00000000-0010-0000-0000-00001A000000}" name="Apakah ada komentar atau saran terkait Komitmen pegawai di lingkup XXX ?"/>
    <tableColumn id="27" xr3:uid="{00000000-0010-0000-0000-00001B000000}" name="1.  Saya mampu mengidentifikasi masalah dan menawarkan solusi."/>
    <tableColumn id="28" xr3:uid="{00000000-0010-0000-0000-00001C000000}" name="2.  Saya selalu berusaha mencari solusi baru tanpa menunggu perintah dari atasan."/>
    <tableColumn id="29" xr3:uid="{00000000-0010-0000-0000-00001D000000}" name="3.  Saya memiliki keinginan untuk mengembangkan diri dan memperbaiki kinerja secara mandiri."/>
    <tableColumn id="30" xr3:uid="{00000000-0010-0000-0000-00001E000000}" name="4.  Saya memiliki kesempatan untuk mengambil inisiatif dan keputusan sesuai dengan batas wewenang."/>
    <tableColumn id="31" xr3:uid="{00000000-0010-0000-0000-00001F000000}" name="5. Saya merasa organisasi memberikan arahan yang jelas mengenai tujuan dan sasaran yang ingin dicapai."/>
    <tableColumn id="32" xr3:uid="{00000000-0010-0000-0000-000020000000}" name="6. Saya merasa setiap kebijakan dan prosedur kerja dijelaskan secara transparan kepada seluruh pegawai."/>
    <tableColumn id="33" xr3:uid="{00000000-0010-0000-0000-000021000000}" name="7.  Saya merasa ada mekanisme umpan balik yang jelas sehingga dapat menyesuaikan kinerja sesuai arahan."/>
    <tableColumn id="34" xr3:uid="{00000000-0010-0000-0000-000022000000}" name="8. Saya merasa seluruh unit kerja dalam organisasi bekerja secara harmonis dan saling mendukung untuk mencapai tujuan bersama."/>
    <tableColumn id="35" xr3:uid="{00000000-0010-0000-0000-000023000000}" name="9.  Saya merasakan komunikasi yang efektif dan terbuka antar anggota maupun antar unit kerja di dalam organisasi."/>
    <tableColumn id="36" xr3:uid="{00000000-0010-0000-0000-000024000000}" name="10.  Saya menyakini nilai-nilai dan norma organisasi dipahami, diadopsi, dan diterapkan secara konsisten oleh seluruh pegawai."/>
    <tableColumn id="37" xr3:uid="{00000000-0010-0000-0000-000025000000}" name="11. Saya yakin konflik yang muncul di lingkungan kerja dapat diselesaikan dengan cara yang konstruktif dan mendukung kolaborasi."/>
    <tableColumn id="38" xr3:uid="{00000000-0010-0000-0000-000026000000}" name="12. Saya merasa terdapat rasa kebersamaan dan solidaritas yang tinggi di antara pegawai."/>
    <tableColumn id="39" xr3:uid="{00000000-0010-0000-0000-000027000000}" name="13. Saya merasa organisasi memberikan dukungan berupa fasilitas, pelatihan, atau sumber daya yang diperlukan untuk menyelesaikan pekerjaan."/>
    <tableColumn id="40" xr3:uid="{00000000-0010-0000-0000-000028000000}" name="14. Saya merasa organisasi terbuka terhadap masukan dan ide dari seluruh pegawai."/>
    <tableColumn id="41" xr3:uid="{00000000-0010-0000-0000-000029000000}" name="15.  Saya merasa atasan memberikan apresiasi dan umpan balik yang membangun terhadap kinerja bawahan."/>
    <tableColumn id="42" xr3:uid="{00000000-0010-0000-0000-00002A000000}" name="16.  Saya merasa pengawasan yang dilakukan oleh atasan berjalan secara teratur dan konsisten."/>
    <tableColumn id="43" xr3:uid="{00000000-0010-0000-0000-00002B000000}" name="17. Saya merasa setiap pelanggaran atau ketidaksesuaian dalam pekerjaan selalu ditindaklanjuti dengan evaluasi dan perbaikan. "/>
    <tableColumn id="44" xr3:uid="{00000000-0010-0000-0000-00002C000000}" name="18.  Saya merasa atasan memberikan umpan balik dan arahan untuk memperbaiki kinerja bawahan.     "/>
    <tableColumn id="45" xr3:uid="{00000000-0010-0000-0000-00002D000000}" name="19.  Pengawasan yang diterapkan sekarang mendorong saya untuk bekerja lebih disiplin dan bertanggung jawab.        "/>
    <tableColumn id="46" xr3:uid="{00000000-0010-0000-0000-00002E000000}" name="Apakah ada komentar atau saran terkait penerapan Budaya Organisasi di lingkup XXX ?"/>
    <tableColumn id="47" xr3:uid="{00000000-0010-0000-0000-00002F000000}" name="1.  Hasil pekerjaan saya sesuai dengan standar yang ditetapkan oleh organisasi.         "/>
    <tableColumn id="48" xr3:uid="{00000000-0010-0000-0000-000030000000}" name="2.  Rendahnya tingkat kesalahan saya dalam bekerja."/>
    <tableColumn id="49" xr3:uid="{00000000-0010-0000-0000-000031000000}" name="3. Jumlah hasil pekerjaan saya selalu memenuhi target yang telah ditetapkan."/>
    <tableColumn id="50" xr3:uid="{00000000-0010-0000-0000-000032000000}" name="4.  Saya mampu menyelesaikan beberapa pekerjaan dalam satu waktu tertentu."/>
    <tableColumn id="51" xr3:uid="{00000000-0010-0000-0000-000033000000}" name="5. Jumlah beban kerja saya sesuai dengan standar organisasi."/>
    <tableColumn id="52" xr3:uid="{00000000-0010-0000-0000-000034000000}" name="6.  Saya selalu hadir di kantor  sebelum atau maksimal pukul 8.00 pagi."/>
    <tableColumn id="53" xr3:uid="{00000000-0010-0000-0000-000035000000}" name="7.   Melihat atasan/rekan kerja datang sering datang terlambat, membuat saya merasa aman/tenang jika hadir terlambat di kantor."/>
    <tableColumn id="54" xr3:uid="{00000000-0010-0000-0000-000036000000}" name="8. Saya dapat mengelola waktu kerja sehingga tidak terjadi penundaan dalam penyelesaian tugas."/>
    <tableColumn id="55" xr3:uid="{00000000-0010-0000-0000-000037000000}" name="9.  Delapan jam waktu kerja saya optimalkan untuk fokus menuntaskan pekerjaan."/>
    <tableColumn id="56" xr3:uid="{00000000-0010-0000-0000-000038000000}" name="10.  Saya selalu saling membantu dan mendukung dengan rekan kerja."/>
    <tableColumn id="57" xr3:uid="{00000000-0010-0000-0000-000039000000}" name="11.  Saya berpartisipasi aktif dalam diskusi atau rapat."/>
    <tableColumn id="58" xr3:uid="{00000000-0010-0000-0000-00003A000000}" name="12.  Saya menjaga  komunikasi yang baik dan terbuka dengan rekan kerja."/>
    <tableColumn id="59" xr3:uid="{00000000-0010-0000-0000-00003B000000}" name="13.  Saya mampu melakukan koordinasi yang efektif dengan rekan kerja."/>
    <tableColumn id="60" xr3:uid="{00000000-0010-0000-0000-00003C000000}" name="Apakah ada komentar atau saran terkait Kinerja Pegawai di lingkup XXX?"/>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dyan729@gmail.com" TargetMode="External"/><Relationship Id="rId7" Type="http://schemas.openxmlformats.org/officeDocument/2006/relationships/table" Target="../tables/table1.xml"/><Relationship Id="rId2" Type="http://schemas.openxmlformats.org/officeDocument/2006/relationships/hyperlink" Target="mailto:dyan729@gmail.com" TargetMode="External"/><Relationship Id="rId1" Type="http://schemas.openxmlformats.org/officeDocument/2006/relationships/hyperlink" Target="mailto:dyan729@gmail.com" TargetMode="External"/><Relationship Id="rId6" Type="http://schemas.openxmlformats.org/officeDocument/2006/relationships/printerSettings" Target="../printerSettings/printerSettings1.bin"/><Relationship Id="rId5" Type="http://schemas.openxmlformats.org/officeDocument/2006/relationships/hyperlink" Target="mailto:dyan729@gmail.com" TargetMode="External"/><Relationship Id="rId4" Type="http://schemas.openxmlformats.org/officeDocument/2006/relationships/hyperlink" Target="mailto:feri.perdian87@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I33"/>
  <sheetViews>
    <sheetView tabSelected="1" workbookViewId="0">
      <pane ySplit="1" topLeftCell="A8" activePane="bottomLeft" state="frozen"/>
      <selection pane="bottomLeft" sqref="A1:XFD1048576"/>
    </sheetView>
  </sheetViews>
  <sheetFormatPr defaultColWidth="12.54296875" defaultRowHeight="15.75" customHeight="1" x14ac:dyDescent="0.25"/>
  <cols>
    <col min="1" max="1" width="3.26953125" bestFit="1" customWidth="1"/>
    <col min="2" max="2" width="18.81640625" customWidth="1"/>
    <col min="3" max="3" width="11.1796875" customWidth="1"/>
    <col min="4" max="4" width="12.54296875" bestFit="1" customWidth="1"/>
    <col min="5" max="5" width="10.54296875" bestFit="1" customWidth="1"/>
    <col min="6" max="6" width="16.7265625" bestFit="1" customWidth="1"/>
    <col min="7" max="7" width="11.26953125" bestFit="1" customWidth="1"/>
    <col min="8" max="61" width="37.54296875" customWidth="1"/>
    <col min="62" max="67" width="18.81640625" customWidth="1"/>
  </cols>
  <sheetData>
    <row r="1" spans="1:61" s="9" customFormat="1" ht="56.25" customHeight="1" x14ac:dyDescent="0.25">
      <c r="A1" s="9" t="s">
        <v>119</v>
      </c>
      <c r="B1" s="10" t="s">
        <v>0</v>
      </c>
      <c r="C1" s="11" t="s">
        <v>1</v>
      </c>
      <c r="D1" s="11" t="s">
        <v>2</v>
      </c>
      <c r="E1" s="11" t="s">
        <v>3</v>
      </c>
      <c r="F1" s="11" t="s">
        <v>120</v>
      </c>
      <c r="G1" s="11" t="s">
        <v>4</v>
      </c>
      <c r="H1" s="11" t="s">
        <v>5</v>
      </c>
      <c r="I1" s="11" t="s">
        <v>6</v>
      </c>
      <c r="J1" s="11" t="s">
        <v>7</v>
      </c>
      <c r="K1" s="11" t="s">
        <v>8</v>
      </c>
      <c r="L1" s="11" t="s">
        <v>9</v>
      </c>
      <c r="M1" s="11" t="s">
        <v>10</v>
      </c>
      <c r="N1" s="11" t="s">
        <v>11</v>
      </c>
      <c r="O1" s="11" t="s">
        <v>121</v>
      </c>
      <c r="P1" s="11" t="s">
        <v>12</v>
      </c>
      <c r="Q1" s="11" t="s">
        <v>13</v>
      </c>
      <c r="R1" s="11" t="s">
        <v>14</v>
      </c>
      <c r="S1" s="11" t="s">
        <v>15</v>
      </c>
      <c r="T1" s="11" t="s">
        <v>16</v>
      </c>
      <c r="U1" s="11" t="s">
        <v>17</v>
      </c>
      <c r="V1" s="11" t="s">
        <v>18</v>
      </c>
      <c r="W1" s="11" t="s">
        <v>19</v>
      </c>
      <c r="X1" s="11" t="s">
        <v>20</v>
      </c>
      <c r="Y1" s="11" t="s">
        <v>21</v>
      </c>
      <c r="Z1" s="11" t="s">
        <v>22</v>
      </c>
      <c r="AA1" s="11" t="s">
        <v>122</v>
      </c>
      <c r="AB1" s="11" t="s">
        <v>23</v>
      </c>
      <c r="AC1" s="11" t="s">
        <v>24</v>
      </c>
      <c r="AD1" s="11" t="s">
        <v>25</v>
      </c>
      <c r="AE1" s="11" t="s">
        <v>26</v>
      </c>
      <c r="AF1" s="11" t="s">
        <v>27</v>
      </c>
      <c r="AG1" s="11" t="s">
        <v>28</v>
      </c>
      <c r="AH1" s="11" t="s">
        <v>29</v>
      </c>
      <c r="AI1" s="11" t="s">
        <v>30</v>
      </c>
      <c r="AJ1" s="11" t="s">
        <v>31</v>
      </c>
      <c r="AK1" s="11" t="s">
        <v>32</v>
      </c>
      <c r="AL1" s="11" t="s">
        <v>33</v>
      </c>
      <c r="AM1" s="11" t="s">
        <v>34</v>
      </c>
      <c r="AN1" s="11" t="s">
        <v>35</v>
      </c>
      <c r="AO1" s="11" t="s">
        <v>36</v>
      </c>
      <c r="AP1" s="11" t="s">
        <v>37</v>
      </c>
      <c r="AQ1" s="11" t="s">
        <v>38</v>
      </c>
      <c r="AR1" s="11" t="s">
        <v>39</v>
      </c>
      <c r="AS1" s="11" t="s">
        <v>40</v>
      </c>
      <c r="AT1" s="11" t="s">
        <v>41</v>
      </c>
      <c r="AU1" s="11" t="s">
        <v>123</v>
      </c>
      <c r="AV1" s="11" t="s">
        <v>42</v>
      </c>
      <c r="AW1" s="11" t="s">
        <v>43</v>
      </c>
      <c r="AX1" s="11" t="s">
        <v>44</v>
      </c>
      <c r="AY1" s="11" t="s">
        <v>45</v>
      </c>
      <c r="AZ1" s="11" t="s">
        <v>46</v>
      </c>
      <c r="BA1" s="11" t="s">
        <v>47</v>
      </c>
      <c r="BB1" s="11" t="s">
        <v>48</v>
      </c>
      <c r="BC1" s="11" t="s">
        <v>49</v>
      </c>
      <c r="BD1" s="11" t="s">
        <v>50</v>
      </c>
      <c r="BE1" s="11" t="s">
        <v>51</v>
      </c>
      <c r="BF1" s="11" t="s">
        <v>52</v>
      </c>
      <c r="BG1" s="11" t="s">
        <v>53</v>
      </c>
      <c r="BH1" s="11" t="s">
        <v>54</v>
      </c>
      <c r="BI1" s="12" t="s">
        <v>124</v>
      </c>
    </row>
    <row r="2" spans="1:61" ht="12.5" x14ac:dyDescent="0.25">
      <c r="A2">
        <v>1</v>
      </c>
      <c r="B2" s="1">
        <v>45813.669932685181</v>
      </c>
      <c r="C2" s="2" t="s">
        <v>125</v>
      </c>
      <c r="D2" s="2" t="s">
        <v>55</v>
      </c>
      <c r="E2" s="2">
        <v>1990</v>
      </c>
      <c r="F2" s="2" t="s">
        <v>56</v>
      </c>
      <c r="G2" s="2" t="s">
        <v>57</v>
      </c>
      <c r="H2" s="2" t="s">
        <v>58</v>
      </c>
      <c r="I2" s="2" t="s">
        <v>58</v>
      </c>
      <c r="J2" s="2" t="s">
        <v>58</v>
      </c>
      <c r="K2" s="2" t="s">
        <v>58</v>
      </c>
      <c r="L2" s="2" t="s">
        <v>58</v>
      </c>
      <c r="M2" s="2" t="s">
        <v>58</v>
      </c>
      <c r="N2" s="2" t="s">
        <v>58</v>
      </c>
      <c r="O2" s="2"/>
      <c r="P2" s="2" t="s">
        <v>58</v>
      </c>
      <c r="Q2" s="2" t="s">
        <v>58</v>
      </c>
      <c r="R2" s="2" t="s">
        <v>58</v>
      </c>
      <c r="S2" s="2" t="s">
        <v>58</v>
      </c>
      <c r="T2" s="2" t="s">
        <v>58</v>
      </c>
      <c r="U2" s="2" t="s">
        <v>58</v>
      </c>
      <c r="V2" s="2" t="s">
        <v>59</v>
      </c>
      <c r="W2" s="2" t="s">
        <v>60</v>
      </c>
      <c r="X2" s="2" t="s">
        <v>59</v>
      </c>
      <c r="Y2" s="2" t="s">
        <v>59</v>
      </c>
      <c r="Z2" s="2" t="s">
        <v>58</v>
      </c>
      <c r="AA2" s="2"/>
      <c r="AB2" s="2" t="s">
        <v>59</v>
      </c>
      <c r="AC2" s="2" t="s">
        <v>58</v>
      </c>
      <c r="AD2" s="2" t="s">
        <v>58</v>
      </c>
      <c r="AE2" s="2" t="s">
        <v>58</v>
      </c>
      <c r="AF2" s="2" t="s">
        <v>59</v>
      </c>
      <c r="AG2" s="2" t="s">
        <v>58</v>
      </c>
      <c r="AH2" s="2" t="s">
        <v>59</v>
      </c>
      <c r="AI2" s="2" t="s">
        <v>58</v>
      </c>
      <c r="AJ2" s="2" t="s">
        <v>58</v>
      </c>
      <c r="AK2" s="2" t="s">
        <v>59</v>
      </c>
      <c r="AL2" s="2" t="s">
        <v>61</v>
      </c>
      <c r="AM2" s="2" t="s">
        <v>61</v>
      </c>
      <c r="AN2" s="2" t="s">
        <v>58</v>
      </c>
      <c r="AO2" s="2" t="s">
        <v>59</v>
      </c>
      <c r="AP2" s="2" t="s">
        <v>58</v>
      </c>
      <c r="AQ2" s="2" t="s">
        <v>58</v>
      </c>
      <c r="AR2" s="2" t="s">
        <v>58</v>
      </c>
      <c r="AS2" s="2" t="s">
        <v>58</v>
      </c>
      <c r="AT2" s="2" t="s">
        <v>60</v>
      </c>
      <c r="AU2" s="2"/>
      <c r="AV2" s="2" t="s">
        <v>59</v>
      </c>
      <c r="AW2" s="2" t="s">
        <v>59</v>
      </c>
      <c r="AX2" s="2" t="s">
        <v>58</v>
      </c>
      <c r="AY2" s="2" t="s">
        <v>58</v>
      </c>
      <c r="AZ2" s="2" t="s">
        <v>59</v>
      </c>
      <c r="BA2" s="2" t="s">
        <v>60</v>
      </c>
      <c r="BB2" s="2" t="s">
        <v>60</v>
      </c>
      <c r="BC2" s="2" t="s">
        <v>58</v>
      </c>
      <c r="BD2" s="2" t="s">
        <v>58</v>
      </c>
      <c r="BE2" s="2" t="s">
        <v>61</v>
      </c>
      <c r="BF2" s="2" t="s">
        <v>58</v>
      </c>
      <c r="BG2" s="2" t="s">
        <v>61</v>
      </c>
      <c r="BH2" s="2" t="s">
        <v>61</v>
      </c>
      <c r="BI2" s="3"/>
    </row>
    <row r="3" spans="1:61" ht="12.5" x14ac:dyDescent="0.25">
      <c r="A3">
        <v>2</v>
      </c>
      <c r="B3" s="4">
        <v>45813.677139131949</v>
      </c>
      <c r="C3" s="5" t="s">
        <v>126</v>
      </c>
      <c r="D3" s="5" t="s">
        <v>55</v>
      </c>
      <c r="E3" s="5">
        <v>1981</v>
      </c>
      <c r="F3" s="5" t="s">
        <v>62</v>
      </c>
      <c r="G3" s="5" t="s">
        <v>63</v>
      </c>
      <c r="H3" s="5" t="s">
        <v>61</v>
      </c>
      <c r="I3" s="5" t="s">
        <v>61</v>
      </c>
      <c r="J3" s="5" t="s">
        <v>61</v>
      </c>
      <c r="K3" s="5" t="s">
        <v>61</v>
      </c>
      <c r="L3" s="5" t="s">
        <v>58</v>
      </c>
      <c r="M3" s="5" t="s">
        <v>58</v>
      </c>
      <c r="N3" s="5" t="s">
        <v>58</v>
      </c>
      <c r="O3" s="5" t="s">
        <v>64</v>
      </c>
      <c r="P3" s="5" t="s">
        <v>61</v>
      </c>
      <c r="Q3" s="5" t="s">
        <v>61</v>
      </c>
      <c r="R3" s="5" t="s">
        <v>61</v>
      </c>
      <c r="S3" s="5" t="s">
        <v>61</v>
      </c>
      <c r="T3" s="5" t="s">
        <v>61</v>
      </c>
      <c r="U3" s="5" t="s">
        <v>61</v>
      </c>
      <c r="V3" s="5" t="s">
        <v>58</v>
      </c>
      <c r="W3" s="5" t="s">
        <v>60</v>
      </c>
      <c r="X3" s="5" t="s">
        <v>58</v>
      </c>
      <c r="Y3" s="5" t="s">
        <v>60</v>
      </c>
      <c r="Z3" s="5" t="s">
        <v>58</v>
      </c>
      <c r="AA3" s="5" t="s">
        <v>65</v>
      </c>
      <c r="AB3" s="5" t="s">
        <v>58</v>
      </c>
      <c r="AC3" s="5" t="s">
        <v>58</v>
      </c>
      <c r="AD3" s="5" t="s">
        <v>58</v>
      </c>
      <c r="AE3" s="5" t="s">
        <v>58</v>
      </c>
      <c r="AF3" s="5" t="s">
        <v>58</v>
      </c>
      <c r="AG3" s="5" t="s">
        <v>59</v>
      </c>
      <c r="AH3" s="5" t="s">
        <v>58</v>
      </c>
      <c r="AI3" s="5" t="s">
        <v>58</v>
      </c>
      <c r="AJ3" s="5" t="s">
        <v>58</v>
      </c>
      <c r="AK3" s="5" t="s">
        <v>58</v>
      </c>
      <c r="AL3" s="5" t="s">
        <v>58</v>
      </c>
      <c r="AM3" s="5" t="s">
        <v>58</v>
      </c>
      <c r="AN3" s="5" t="s">
        <v>58</v>
      </c>
      <c r="AO3" s="5" t="s">
        <v>58</v>
      </c>
      <c r="AP3" s="5" t="s">
        <v>58</v>
      </c>
      <c r="AQ3" s="5" t="s">
        <v>58</v>
      </c>
      <c r="AR3" s="5" t="s">
        <v>58</v>
      </c>
      <c r="AS3" s="5" t="s">
        <v>58</v>
      </c>
      <c r="AT3" s="5" t="s">
        <v>58</v>
      </c>
      <c r="AU3" s="5" t="s">
        <v>66</v>
      </c>
      <c r="AV3" s="5" t="s">
        <v>61</v>
      </c>
      <c r="AW3" s="5" t="s">
        <v>58</v>
      </c>
      <c r="AX3" s="5" t="s">
        <v>61</v>
      </c>
      <c r="AY3" s="5" t="s">
        <v>58</v>
      </c>
      <c r="AZ3" s="5" t="s">
        <v>58</v>
      </c>
      <c r="BA3" s="5" t="s">
        <v>58</v>
      </c>
      <c r="BB3" s="5" t="s">
        <v>60</v>
      </c>
      <c r="BC3" s="5" t="s">
        <v>58</v>
      </c>
      <c r="BD3" s="5" t="s">
        <v>58</v>
      </c>
      <c r="BE3" s="5" t="s">
        <v>58</v>
      </c>
      <c r="BF3" s="5" t="s">
        <v>58</v>
      </c>
      <c r="BG3" s="5" t="s">
        <v>58</v>
      </c>
      <c r="BH3" s="5" t="s">
        <v>58</v>
      </c>
      <c r="BI3" s="6" t="s">
        <v>67</v>
      </c>
    </row>
    <row r="4" spans="1:61" ht="12.5" x14ac:dyDescent="0.25">
      <c r="A4">
        <v>3</v>
      </c>
      <c r="B4" s="1">
        <v>45813.683673946754</v>
      </c>
      <c r="C4" s="13" t="s">
        <v>127</v>
      </c>
      <c r="D4" s="2" t="s">
        <v>55</v>
      </c>
      <c r="E4" s="2">
        <v>1989</v>
      </c>
      <c r="F4" s="2" t="s">
        <v>62</v>
      </c>
      <c r="G4" s="2" t="s">
        <v>68</v>
      </c>
      <c r="H4" s="2" t="s">
        <v>61</v>
      </c>
      <c r="I4" s="2" t="s">
        <v>58</v>
      </c>
      <c r="J4" s="2" t="s">
        <v>58</v>
      </c>
      <c r="K4" s="2" t="s">
        <v>61</v>
      </c>
      <c r="L4" s="2" t="s">
        <v>58</v>
      </c>
      <c r="M4" s="2" t="s">
        <v>59</v>
      </c>
      <c r="N4" s="2" t="s">
        <v>58</v>
      </c>
      <c r="O4" s="2"/>
      <c r="P4" s="2" t="s">
        <v>58</v>
      </c>
      <c r="Q4" s="2" t="s">
        <v>58</v>
      </c>
      <c r="R4" s="2" t="s">
        <v>58</v>
      </c>
      <c r="S4" s="2" t="s">
        <v>61</v>
      </c>
      <c r="T4" s="2" t="s">
        <v>61</v>
      </c>
      <c r="U4" s="2" t="s">
        <v>58</v>
      </c>
      <c r="V4" s="2" t="s">
        <v>59</v>
      </c>
      <c r="W4" s="2" t="s">
        <v>60</v>
      </c>
      <c r="X4" s="2" t="s">
        <v>58</v>
      </c>
      <c r="Y4" s="2" t="s">
        <v>58</v>
      </c>
      <c r="Z4" s="2" t="s">
        <v>61</v>
      </c>
      <c r="AA4" s="2"/>
      <c r="AB4" s="2" t="s">
        <v>58</v>
      </c>
      <c r="AC4" s="2" t="s">
        <v>58</v>
      </c>
      <c r="AD4" s="2" t="s">
        <v>58</v>
      </c>
      <c r="AE4" s="2" t="s">
        <v>58</v>
      </c>
      <c r="AF4" s="2" t="s">
        <v>58</v>
      </c>
      <c r="AG4" s="2" t="s">
        <v>59</v>
      </c>
      <c r="AH4" s="2" t="s">
        <v>58</v>
      </c>
      <c r="AI4" s="2" t="s">
        <v>58</v>
      </c>
      <c r="AJ4" s="2" t="s">
        <v>58</v>
      </c>
      <c r="AK4" s="2" t="s">
        <v>58</v>
      </c>
      <c r="AL4" s="2" t="s">
        <v>58</v>
      </c>
      <c r="AM4" s="2" t="s">
        <v>58</v>
      </c>
      <c r="AN4" s="2" t="s">
        <v>61</v>
      </c>
      <c r="AO4" s="2" t="s">
        <v>58</v>
      </c>
      <c r="AP4" s="2" t="s">
        <v>58</v>
      </c>
      <c r="AQ4" s="2" t="s">
        <v>58</v>
      </c>
      <c r="AR4" s="2" t="s">
        <v>58</v>
      </c>
      <c r="AS4" s="2" t="s">
        <v>58</v>
      </c>
      <c r="AT4" s="2" t="s">
        <v>58</v>
      </c>
      <c r="AU4" s="2"/>
      <c r="AV4" s="2" t="s">
        <v>58</v>
      </c>
      <c r="AW4" s="2" t="s">
        <v>58</v>
      </c>
      <c r="AX4" s="2" t="s">
        <v>61</v>
      </c>
      <c r="AY4" s="2" t="s">
        <v>58</v>
      </c>
      <c r="AZ4" s="2" t="s">
        <v>58</v>
      </c>
      <c r="BA4" s="2" t="s">
        <v>61</v>
      </c>
      <c r="BB4" s="2" t="s">
        <v>61</v>
      </c>
      <c r="BC4" s="2" t="s">
        <v>61</v>
      </c>
      <c r="BD4" s="2" t="s">
        <v>61</v>
      </c>
      <c r="BE4" s="2" t="s">
        <v>58</v>
      </c>
      <c r="BF4" s="2" t="s">
        <v>58</v>
      </c>
      <c r="BG4" s="2" t="s">
        <v>61</v>
      </c>
      <c r="BH4" s="2" t="s">
        <v>61</v>
      </c>
      <c r="BI4" s="3"/>
    </row>
    <row r="5" spans="1:61" ht="12.5" x14ac:dyDescent="0.25">
      <c r="A5">
        <v>4</v>
      </c>
      <c r="B5" s="4">
        <v>45813.692780428246</v>
      </c>
      <c r="C5" s="14" t="s">
        <v>128</v>
      </c>
      <c r="D5" s="5" t="s">
        <v>55</v>
      </c>
      <c r="E5" s="5">
        <v>1989</v>
      </c>
      <c r="F5" s="5" t="s">
        <v>69</v>
      </c>
      <c r="G5" s="5" t="s">
        <v>63</v>
      </c>
      <c r="H5" s="5" t="s">
        <v>58</v>
      </c>
      <c r="I5" s="5" t="s">
        <v>58</v>
      </c>
      <c r="J5" s="5" t="s">
        <v>58</v>
      </c>
      <c r="K5" s="5" t="s">
        <v>58</v>
      </c>
      <c r="L5" s="5" t="s">
        <v>58</v>
      </c>
      <c r="M5" s="5" t="s">
        <v>58</v>
      </c>
      <c r="N5" s="5" t="s">
        <v>58</v>
      </c>
      <c r="O5" s="5" t="s">
        <v>70</v>
      </c>
      <c r="P5" s="5" t="s">
        <v>58</v>
      </c>
      <c r="Q5" s="5" t="s">
        <v>58</v>
      </c>
      <c r="R5" s="5" t="s">
        <v>61</v>
      </c>
      <c r="S5" s="5" t="s">
        <v>61</v>
      </c>
      <c r="T5" s="5" t="s">
        <v>61</v>
      </c>
      <c r="U5" s="5" t="s">
        <v>61</v>
      </c>
      <c r="V5" s="5" t="s">
        <v>58</v>
      </c>
      <c r="W5" s="5" t="s">
        <v>60</v>
      </c>
      <c r="X5" s="5" t="s">
        <v>61</v>
      </c>
      <c r="Y5" s="5" t="s">
        <v>61</v>
      </c>
      <c r="Z5" s="5" t="s">
        <v>61</v>
      </c>
      <c r="AA5" s="5" t="s">
        <v>71</v>
      </c>
      <c r="AB5" s="5" t="s">
        <v>58</v>
      </c>
      <c r="AC5" s="5" t="s">
        <v>58</v>
      </c>
      <c r="AD5" s="5" t="s">
        <v>61</v>
      </c>
      <c r="AE5" s="5" t="s">
        <v>58</v>
      </c>
      <c r="AF5" s="5" t="s">
        <v>61</v>
      </c>
      <c r="AG5" s="5" t="s">
        <v>58</v>
      </c>
      <c r="AH5" s="5" t="s">
        <v>61</v>
      </c>
      <c r="AI5" s="5" t="s">
        <v>58</v>
      </c>
      <c r="AJ5" s="5" t="s">
        <v>58</v>
      </c>
      <c r="AK5" s="5" t="s">
        <v>58</v>
      </c>
      <c r="AL5" s="5" t="s">
        <v>58</v>
      </c>
      <c r="AM5" s="5" t="s">
        <v>58</v>
      </c>
      <c r="AN5" s="5" t="s">
        <v>61</v>
      </c>
      <c r="AO5" s="5" t="s">
        <v>61</v>
      </c>
      <c r="AP5" s="5" t="s">
        <v>61</v>
      </c>
      <c r="AQ5" s="5" t="s">
        <v>61</v>
      </c>
      <c r="AR5" s="5" t="s">
        <v>61</v>
      </c>
      <c r="AS5" s="5" t="s">
        <v>61</v>
      </c>
      <c r="AT5" s="5" t="s">
        <v>61</v>
      </c>
      <c r="AU5" s="5" t="s">
        <v>72</v>
      </c>
      <c r="AV5" s="5" t="s">
        <v>61</v>
      </c>
      <c r="AW5" s="5" t="s">
        <v>58</v>
      </c>
      <c r="AX5" s="5" t="s">
        <v>61</v>
      </c>
      <c r="AY5" s="5" t="s">
        <v>61</v>
      </c>
      <c r="AZ5" s="5" t="s">
        <v>61</v>
      </c>
      <c r="BA5" s="5" t="s">
        <v>58</v>
      </c>
      <c r="BB5" s="5" t="s">
        <v>60</v>
      </c>
      <c r="BC5" s="5" t="s">
        <v>61</v>
      </c>
      <c r="BD5" s="5" t="s">
        <v>61</v>
      </c>
      <c r="BE5" s="5" t="s">
        <v>61</v>
      </c>
      <c r="BF5" s="5" t="s">
        <v>58</v>
      </c>
      <c r="BG5" s="5" t="s">
        <v>61</v>
      </c>
      <c r="BH5" s="5" t="s">
        <v>61</v>
      </c>
      <c r="BI5" s="6" t="s">
        <v>73</v>
      </c>
    </row>
    <row r="6" spans="1:61" ht="12.5" x14ac:dyDescent="0.25">
      <c r="A6">
        <v>5</v>
      </c>
      <c r="B6" s="1">
        <v>45813.694346747681</v>
      </c>
      <c r="C6" s="15" t="s">
        <v>129</v>
      </c>
      <c r="D6" s="2" t="s">
        <v>74</v>
      </c>
      <c r="E6" s="2">
        <v>1980</v>
      </c>
      <c r="F6" s="2" t="s">
        <v>75</v>
      </c>
      <c r="G6" s="2" t="s">
        <v>63</v>
      </c>
      <c r="H6" s="2" t="s">
        <v>61</v>
      </c>
      <c r="I6" s="2" t="s">
        <v>61</v>
      </c>
      <c r="J6" s="2" t="s">
        <v>61</v>
      </c>
      <c r="K6" s="2" t="s">
        <v>61</v>
      </c>
      <c r="L6" s="2" t="s">
        <v>61</v>
      </c>
      <c r="M6" s="2" t="s">
        <v>61</v>
      </c>
      <c r="N6" s="2" t="s">
        <v>61</v>
      </c>
      <c r="O6" s="2" t="s">
        <v>76</v>
      </c>
      <c r="P6" s="2" t="s">
        <v>61</v>
      </c>
      <c r="Q6" s="2" t="s">
        <v>61</v>
      </c>
      <c r="R6" s="2" t="s">
        <v>61</v>
      </c>
      <c r="S6" s="2" t="s">
        <v>61</v>
      </c>
      <c r="T6" s="2" t="s">
        <v>61</v>
      </c>
      <c r="U6" s="2" t="s">
        <v>61</v>
      </c>
      <c r="V6" s="2" t="s">
        <v>77</v>
      </c>
      <c r="W6" s="2" t="s">
        <v>77</v>
      </c>
      <c r="X6" s="2" t="s">
        <v>61</v>
      </c>
      <c r="Y6" s="2" t="s">
        <v>61</v>
      </c>
      <c r="Z6" s="2" t="s">
        <v>61</v>
      </c>
      <c r="AA6" s="2" t="s">
        <v>78</v>
      </c>
      <c r="AB6" s="2" t="s">
        <v>61</v>
      </c>
      <c r="AC6" s="2" t="s">
        <v>61</v>
      </c>
      <c r="AD6" s="2" t="s">
        <v>61</v>
      </c>
      <c r="AE6" s="2" t="s">
        <v>61</v>
      </c>
      <c r="AF6" s="2" t="s">
        <v>61</v>
      </c>
      <c r="AG6" s="2" t="s">
        <v>61</v>
      </c>
      <c r="AH6" s="2" t="s">
        <v>61</v>
      </c>
      <c r="AI6" s="2" t="s">
        <v>61</v>
      </c>
      <c r="AJ6" s="2" t="s">
        <v>58</v>
      </c>
      <c r="AK6" s="2" t="s">
        <v>61</v>
      </c>
      <c r="AL6" s="2" t="s">
        <v>61</v>
      </c>
      <c r="AM6" s="2" t="s">
        <v>58</v>
      </c>
      <c r="AN6" s="2" t="s">
        <v>61</v>
      </c>
      <c r="AO6" s="2" t="s">
        <v>61</v>
      </c>
      <c r="AP6" s="2" t="s">
        <v>58</v>
      </c>
      <c r="AQ6" s="2" t="s">
        <v>58</v>
      </c>
      <c r="AR6" s="2" t="s">
        <v>61</v>
      </c>
      <c r="AS6" s="2" t="s">
        <v>58</v>
      </c>
      <c r="AT6" s="2" t="s">
        <v>58</v>
      </c>
      <c r="AU6" s="2" t="s">
        <v>78</v>
      </c>
      <c r="AV6" s="2" t="s">
        <v>61</v>
      </c>
      <c r="AW6" s="2" t="s">
        <v>61</v>
      </c>
      <c r="AX6" s="2" t="s">
        <v>61</v>
      </c>
      <c r="AY6" s="2" t="s">
        <v>61</v>
      </c>
      <c r="AZ6" s="2" t="s">
        <v>61</v>
      </c>
      <c r="BA6" s="2" t="s">
        <v>61</v>
      </c>
      <c r="BB6" s="2" t="s">
        <v>77</v>
      </c>
      <c r="BC6" s="2" t="s">
        <v>61</v>
      </c>
      <c r="BD6" s="2" t="s">
        <v>61</v>
      </c>
      <c r="BE6" s="2" t="s">
        <v>61</v>
      </c>
      <c r="BF6" s="2" t="s">
        <v>61</v>
      </c>
      <c r="BG6" s="2" t="s">
        <v>61</v>
      </c>
      <c r="BH6" s="2" t="s">
        <v>61</v>
      </c>
      <c r="BI6" s="3" t="s">
        <v>78</v>
      </c>
    </row>
    <row r="7" spans="1:61" ht="12.5" x14ac:dyDescent="0.25">
      <c r="A7">
        <v>6</v>
      </c>
      <c r="B7" s="4">
        <v>45813.703899398148</v>
      </c>
      <c r="C7" s="13" t="s">
        <v>130</v>
      </c>
      <c r="D7" s="5" t="s">
        <v>74</v>
      </c>
      <c r="E7" s="5">
        <v>1999</v>
      </c>
      <c r="F7" s="5" t="s">
        <v>69</v>
      </c>
      <c r="G7" s="5" t="s">
        <v>63</v>
      </c>
      <c r="H7" s="5" t="s">
        <v>61</v>
      </c>
      <c r="I7" s="5" t="s">
        <v>58</v>
      </c>
      <c r="J7" s="5" t="s">
        <v>58</v>
      </c>
      <c r="K7" s="5" t="s">
        <v>61</v>
      </c>
      <c r="L7" s="5" t="s">
        <v>61</v>
      </c>
      <c r="M7" s="5" t="s">
        <v>61</v>
      </c>
      <c r="N7" s="5" t="s">
        <v>58</v>
      </c>
      <c r="O7" s="5" t="s">
        <v>79</v>
      </c>
      <c r="P7" s="5" t="s">
        <v>59</v>
      </c>
      <c r="Q7" s="5" t="s">
        <v>58</v>
      </c>
      <c r="R7" s="5" t="s">
        <v>58</v>
      </c>
      <c r="S7" s="5" t="s">
        <v>58</v>
      </c>
      <c r="T7" s="5" t="s">
        <v>58</v>
      </c>
      <c r="U7" s="5" t="s">
        <v>58</v>
      </c>
      <c r="V7" s="5" t="s">
        <v>58</v>
      </c>
      <c r="W7" s="5" t="s">
        <v>60</v>
      </c>
      <c r="X7" s="5" t="s">
        <v>58</v>
      </c>
      <c r="Y7" s="5" t="s">
        <v>59</v>
      </c>
      <c r="Z7" s="5" t="s">
        <v>58</v>
      </c>
      <c r="AA7" s="5" t="s">
        <v>80</v>
      </c>
      <c r="AB7" s="5" t="s">
        <v>59</v>
      </c>
      <c r="AC7" s="5" t="s">
        <v>59</v>
      </c>
      <c r="AD7" s="5" t="s">
        <v>58</v>
      </c>
      <c r="AE7" s="5" t="s">
        <v>59</v>
      </c>
      <c r="AF7" s="5" t="s">
        <v>59</v>
      </c>
      <c r="AG7" s="5" t="s">
        <v>60</v>
      </c>
      <c r="AH7" s="5" t="s">
        <v>59</v>
      </c>
      <c r="AI7" s="5" t="s">
        <v>59</v>
      </c>
      <c r="AJ7" s="5" t="s">
        <v>60</v>
      </c>
      <c r="AK7" s="5" t="s">
        <v>59</v>
      </c>
      <c r="AL7" s="5" t="s">
        <v>58</v>
      </c>
      <c r="AM7" s="5" t="s">
        <v>59</v>
      </c>
      <c r="AN7" s="5" t="s">
        <v>58</v>
      </c>
      <c r="AO7" s="5" t="s">
        <v>59</v>
      </c>
      <c r="AP7" s="5" t="s">
        <v>58</v>
      </c>
      <c r="AQ7" s="5" t="s">
        <v>59</v>
      </c>
      <c r="AR7" s="5" t="s">
        <v>58</v>
      </c>
      <c r="AS7" s="5" t="s">
        <v>58</v>
      </c>
      <c r="AT7" s="5" t="s">
        <v>58</v>
      </c>
      <c r="AU7" s="5" t="s">
        <v>81</v>
      </c>
      <c r="AV7" s="5" t="s">
        <v>58</v>
      </c>
      <c r="AW7" s="5" t="s">
        <v>59</v>
      </c>
      <c r="AX7" s="5" t="s">
        <v>58</v>
      </c>
      <c r="AY7" s="5" t="s">
        <v>58</v>
      </c>
      <c r="AZ7" s="5" t="s">
        <v>58</v>
      </c>
      <c r="BA7" s="5" t="s">
        <v>60</v>
      </c>
      <c r="BB7" s="5" t="s">
        <v>58</v>
      </c>
      <c r="BC7" s="5" t="s">
        <v>59</v>
      </c>
      <c r="BD7" s="5" t="s">
        <v>58</v>
      </c>
      <c r="BE7" s="5" t="s">
        <v>58</v>
      </c>
      <c r="BF7" s="5" t="s">
        <v>59</v>
      </c>
      <c r="BG7" s="5" t="s">
        <v>58</v>
      </c>
      <c r="BH7" s="5" t="s">
        <v>58</v>
      </c>
      <c r="BI7" s="6" t="s">
        <v>82</v>
      </c>
    </row>
    <row r="8" spans="1:61" ht="12.5" x14ac:dyDescent="0.25">
      <c r="A8">
        <v>7</v>
      </c>
      <c r="B8" s="1">
        <v>45813.753268043976</v>
      </c>
      <c r="C8" s="14" t="s">
        <v>131</v>
      </c>
      <c r="D8" s="2" t="s">
        <v>55</v>
      </c>
      <c r="E8" s="2">
        <v>1984</v>
      </c>
      <c r="F8" s="2" t="s">
        <v>75</v>
      </c>
      <c r="G8" s="2" t="s">
        <v>57</v>
      </c>
      <c r="H8" s="2" t="s">
        <v>58</v>
      </c>
      <c r="I8" s="2" t="s">
        <v>58</v>
      </c>
      <c r="J8" s="2" t="s">
        <v>58</v>
      </c>
      <c r="K8" s="2" t="s">
        <v>59</v>
      </c>
      <c r="L8" s="2" t="s">
        <v>58</v>
      </c>
      <c r="M8" s="2" t="s">
        <v>58</v>
      </c>
      <c r="N8" s="2" t="s">
        <v>58</v>
      </c>
      <c r="O8" s="2"/>
      <c r="P8" s="2" t="s">
        <v>58</v>
      </c>
      <c r="Q8" s="2" t="s">
        <v>59</v>
      </c>
      <c r="R8" s="2" t="s">
        <v>58</v>
      </c>
      <c r="S8" s="2" t="s">
        <v>58</v>
      </c>
      <c r="T8" s="2" t="s">
        <v>58</v>
      </c>
      <c r="U8" s="2" t="s">
        <v>59</v>
      </c>
      <c r="V8" s="2" t="s">
        <v>59</v>
      </c>
      <c r="W8" s="2" t="s">
        <v>59</v>
      </c>
      <c r="X8" s="2" t="s">
        <v>58</v>
      </c>
      <c r="Y8" s="2" t="s">
        <v>59</v>
      </c>
      <c r="Z8" s="2" t="s">
        <v>58</v>
      </c>
      <c r="AA8" s="2"/>
      <c r="AB8" s="2" t="s">
        <v>59</v>
      </c>
      <c r="AC8" s="2" t="s">
        <v>59</v>
      </c>
      <c r="AD8" s="2" t="s">
        <v>58</v>
      </c>
      <c r="AE8" s="2" t="s">
        <v>58</v>
      </c>
      <c r="AF8" s="2" t="s">
        <v>58</v>
      </c>
      <c r="AG8" s="2" t="s">
        <v>59</v>
      </c>
      <c r="AH8" s="2" t="s">
        <v>59</v>
      </c>
      <c r="AI8" s="2" t="s">
        <v>59</v>
      </c>
      <c r="AJ8" s="2" t="s">
        <v>58</v>
      </c>
      <c r="AK8" s="2" t="s">
        <v>59</v>
      </c>
      <c r="AL8" s="2" t="s">
        <v>59</v>
      </c>
      <c r="AM8" s="2" t="s">
        <v>59</v>
      </c>
      <c r="AN8" s="2" t="s">
        <v>59</v>
      </c>
      <c r="AO8" s="2" t="s">
        <v>59</v>
      </c>
      <c r="AP8" s="2" t="s">
        <v>59</v>
      </c>
      <c r="AQ8" s="2" t="s">
        <v>59</v>
      </c>
      <c r="AR8" s="2" t="s">
        <v>58</v>
      </c>
      <c r="AS8" s="2" t="s">
        <v>58</v>
      </c>
      <c r="AT8" s="2" t="s">
        <v>59</v>
      </c>
      <c r="AU8" s="2"/>
      <c r="AV8" s="2" t="s">
        <v>59</v>
      </c>
      <c r="AW8" s="2" t="s">
        <v>59</v>
      </c>
      <c r="AX8" s="2" t="s">
        <v>59</v>
      </c>
      <c r="AY8" s="2" t="s">
        <v>59</v>
      </c>
      <c r="AZ8" s="2" t="s">
        <v>59</v>
      </c>
      <c r="BA8" s="2" t="s">
        <v>60</v>
      </c>
      <c r="BB8" s="2" t="s">
        <v>60</v>
      </c>
      <c r="BC8" s="2" t="s">
        <v>58</v>
      </c>
      <c r="BD8" s="2" t="s">
        <v>58</v>
      </c>
      <c r="BE8" s="2" t="s">
        <v>58</v>
      </c>
      <c r="BF8" s="2" t="s">
        <v>59</v>
      </c>
      <c r="BG8" s="2" t="s">
        <v>58</v>
      </c>
      <c r="BH8" s="2" t="s">
        <v>58</v>
      </c>
      <c r="BI8" s="3" t="s">
        <v>83</v>
      </c>
    </row>
    <row r="9" spans="1:61" ht="12.5" x14ac:dyDescent="0.25">
      <c r="A9">
        <v>8</v>
      </c>
      <c r="B9" s="4">
        <v>45813.769140937497</v>
      </c>
      <c r="C9" s="15" t="s">
        <v>132</v>
      </c>
      <c r="D9" s="5" t="s">
        <v>55</v>
      </c>
      <c r="E9" s="5">
        <v>2001</v>
      </c>
      <c r="F9" s="5" t="s">
        <v>69</v>
      </c>
      <c r="G9" s="5" t="s">
        <v>63</v>
      </c>
      <c r="H9" s="5" t="s">
        <v>61</v>
      </c>
      <c r="I9" s="5" t="s">
        <v>61</v>
      </c>
      <c r="J9" s="5" t="s">
        <v>61</v>
      </c>
      <c r="K9" s="5" t="s">
        <v>61</v>
      </c>
      <c r="L9" s="5" t="s">
        <v>61</v>
      </c>
      <c r="M9" s="5" t="s">
        <v>61</v>
      </c>
      <c r="N9" s="5" t="s">
        <v>61</v>
      </c>
      <c r="O9" s="5" t="s">
        <v>84</v>
      </c>
      <c r="P9" s="5" t="s">
        <v>61</v>
      </c>
      <c r="Q9" s="5" t="s">
        <v>61</v>
      </c>
      <c r="R9" s="5" t="s">
        <v>61</v>
      </c>
      <c r="S9" s="5" t="s">
        <v>61</v>
      </c>
      <c r="T9" s="5" t="s">
        <v>61</v>
      </c>
      <c r="U9" s="5" t="s">
        <v>61</v>
      </c>
      <c r="V9" s="5" t="s">
        <v>77</v>
      </c>
      <c r="W9" s="5" t="s">
        <v>77</v>
      </c>
      <c r="X9" s="5" t="s">
        <v>58</v>
      </c>
      <c r="Y9" s="5" t="s">
        <v>61</v>
      </c>
      <c r="Z9" s="5" t="s">
        <v>61</v>
      </c>
      <c r="AA9" s="5"/>
      <c r="AB9" s="5" t="s">
        <v>61</v>
      </c>
      <c r="AC9" s="5" t="s">
        <v>61</v>
      </c>
      <c r="AD9" s="5" t="s">
        <v>61</v>
      </c>
      <c r="AE9" s="5" t="s">
        <v>61</v>
      </c>
      <c r="AF9" s="5" t="s">
        <v>61</v>
      </c>
      <c r="AG9" s="5" t="s">
        <v>61</v>
      </c>
      <c r="AH9" s="5" t="s">
        <v>58</v>
      </c>
      <c r="AI9" s="5" t="s">
        <v>61</v>
      </c>
      <c r="AJ9" s="5" t="s">
        <v>61</v>
      </c>
      <c r="AK9" s="5" t="s">
        <v>61</v>
      </c>
      <c r="AL9" s="5" t="s">
        <v>61</v>
      </c>
      <c r="AM9" s="5" t="s">
        <v>61</v>
      </c>
      <c r="AN9" s="5" t="s">
        <v>61</v>
      </c>
      <c r="AO9" s="5" t="s">
        <v>61</v>
      </c>
      <c r="AP9" s="5" t="s">
        <v>61</v>
      </c>
      <c r="AQ9" s="5" t="s">
        <v>61</v>
      </c>
      <c r="AR9" s="5" t="s">
        <v>61</v>
      </c>
      <c r="AS9" s="5" t="s">
        <v>61</v>
      </c>
      <c r="AT9" s="5" t="s">
        <v>61</v>
      </c>
      <c r="AU9" s="5"/>
      <c r="AV9" s="5" t="s">
        <v>61</v>
      </c>
      <c r="AW9" s="5" t="s">
        <v>58</v>
      </c>
      <c r="AX9" s="5" t="s">
        <v>61</v>
      </c>
      <c r="AY9" s="5" t="s">
        <v>61</v>
      </c>
      <c r="AZ9" s="5" t="s">
        <v>58</v>
      </c>
      <c r="BA9" s="5" t="s">
        <v>61</v>
      </c>
      <c r="BB9" s="5" t="s">
        <v>77</v>
      </c>
      <c r="BC9" s="5" t="s">
        <v>61</v>
      </c>
      <c r="BD9" s="5" t="s">
        <v>61</v>
      </c>
      <c r="BE9" s="5" t="s">
        <v>61</v>
      </c>
      <c r="BF9" s="5" t="s">
        <v>58</v>
      </c>
      <c r="BG9" s="5" t="s">
        <v>61</v>
      </c>
      <c r="BH9" s="5" t="s">
        <v>61</v>
      </c>
      <c r="BI9" s="6"/>
    </row>
    <row r="10" spans="1:61" ht="12.5" x14ac:dyDescent="0.25">
      <c r="A10">
        <v>9</v>
      </c>
      <c r="B10" s="1">
        <v>45813.788901469903</v>
      </c>
      <c r="C10" s="13" t="s">
        <v>133</v>
      </c>
      <c r="D10" s="2" t="s">
        <v>55</v>
      </c>
      <c r="E10" s="2">
        <v>2000</v>
      </c>
      <c r="F10" s="2" t="s">
        <v>69</v>
      </c>
      <c r="G10" s="2" t="s">
        <v>63</v>
      </c>
      <c r="H10" s="2" t="s">
        <v>58</v>
      </c>
      <c r="I10" s="2" t="s">
        <v>58</v>
      </c>
      <c r="J10" s="2" t="s">
        <v>58</v>
      </c>
      <c r="K10" s="2" t="s">
        <v>58</v>
      </c>
      <c r="L10" s="2" t="s">
        <v>58</v>
      </c>
      <c r="M10" s="2" t="s">
        <v>58</v>
      </c>
      <c r="N10" s="2" t="s">
        <v>58</v>
      </c>
      <c r="O10" s="2" t="s">
        <v>85</v>
      </c>
      <c r="P10" s="2" t="s">
        <v>58</v>
      </c>
      <c r="Q10" s="2" t="s">
        <v>58</v>
      </c>
      <c r="R10" s="2" t="s">
        <v>58</v>
      </c>
      <c r="S10" s="2" t="s">
        <v>58</v>
      </c>
      <c r="T10" s="2" t="s">
        <v>61</v>
      </c>
      <c r="U10" s="2" t="s">
        <v>58</v>
      </c>
      <c r="V10" s="2" t="s">
        <v>60</v>
      </c>
      <c r="W10" s="2" t="s">
        <v>60</v>
      </c>
      <c r="X10" s="2" t="s">
        <v>58</v>
      </c>
      <c r="Y10" s="2" t="s">
        <v>58</v>
      </c>
      <c r="Z10" s="2" t="s">
        <v>61</v>
      </c>
      <c r="AA10" s="2" t="s">
        <v>86</v>
      </c>
      <c r="AB10" s="2" t="s">
        <v>58</v>
      </c>
      <c r="AC10" s="2" t="s">
        <v>58</v>
      </c>
      <c r="AD10" s="2" t="s">
        <v>58</v>
      </c>
      <c r="AE10" s="2" t="s">
        <v>58</v>
      </c>
      <c r="AF10" s="2" t="s">
        <v>58</v>
      </c>
      <c r="AG10" s="2" t="s">
        <v>58</v>
      </c>
      <c r="AH10" s="2" t="s">
        <v>58</v>
      </c>
      <c r="AI10" s="2" t="s">
        <v>58</v>
      </c>
      <c r="AJ10" s="2" t="s">
        <v>58</v>
      </c>
      <c r="AK10" s="2" t="s">
        <v>58</v>
      </c>
      <c r="AL10" s="2" t="s">
        <v>58</v>
      </c>
      <c r="AM10" s="2" t="s">
        <v>58</v>
      </c>
      <c r="AN10" s="2" t="s">
        <v>61</v>
      </c>
      <c r="AO10" s="2" t="s">
        <v>58</v>
      </c>
      <c r="AP10" s="2" t="s">
        <v>58</v>
      </c>
      <c r="AQ10" s="2" t="s">
        <v>58</v>
      </c>
      <c r="AR10" s="2" t="s">
        <v>58</v>
      </c>
      <c r="AS10" s="2" t="s">
        <v>58</v>
      </c>
      <c r="AT10" s="2" t="s">
        <v>58</v>
      </c>
      <c r="AU10" s="2" t="s">
        <v>85</v>
      </c>
      <c r="AV10" s="2" t="s">
        <v>58</v>
      </c>
      <c r="AW10" s="2" t="s">
        <v>58</v>
      </c>
      <c r="AX10" s="2" t="s">
        <v>58</v>
      </c>
      <c r="AY10" s="2" t="s">
        <v>58</v>
      </c>
      <c r="AZ10" s="2" t="s">
        <v>58</v>
      </c>
      <c r="BA10" s="2" t="s">
        <v>58</v>
      </c>
      <c r="BB10" s="2" t="s">
        <v>60</v>
      </c>
      <c r="BC10" s="2" t="s">
        <v>58</v>
      </c>
      <c r="BD10" s="2" t="s">
        <v>58</v>
      </c>
      <c r="BE10" s="2" t="s">
        <v>58</v>
      </c>
      <c r="BF10" s="2" t="s">
        <v>58</v>
      </c>
      <c r="BG10" s="2" t="s">
        <v>58</v>
      </c>
      <c r="BH10" s="2" t="s">
        <v>58</v>
      </c>
      <c r="BI10" s="3" t="s">
        <v>85</v>
      </c>
    </row>
    <row r="11" spans="1:61" ht="12.5" x14ac:dyDescent="0.25">
      <c r="A11">
        <v>10</v>
      </c>
      <c r="B11" s="4">
        <v>45813.818659456017</v>
      </c>
      <c r="C11" s="15" t="s">
        <v>134</v>
      </c>
      <c r="D11" s="5" t="s">
        <v>74</v>
      </c>
      <c r="E11" s="5">
        <v>1976</v>
      </c>
      <c r="F11" s="5" t="s">
        <v>75</v>
      </c>
      <c r="G11" s="5" t="s">
        <v>57</v>
      </c>
      <c r="H11" s="5" t="s">
        <v>61</v>
      </c>
      <c r="I11" s="5" t="s">
        <v>61</v>
      </c>
      <c r="J11" s="5" t="s">
        <v>61</v>
      </c>
      <c r="K11" s="5" t="s">
        <v>61</v>
      </c>
      <c r="L11" s="5" t="s">
        <v>61</v>
      </c>
      <c r="M11" s="5" t="s">
        <v>61</v>
      </c>
      <c r="N11" s="5" t="s">
        <v>61</v>
      </c>
      <c r="O11" s="5" t="s">
        <v>87</v>
      </c>
      <c r="P11" s="5" t="s">
        <v>61</v>
      </c>
      <c r="Q11" s="5" t="s">
        <v>61</v>
      </c>
      <c r="R11" s="5" t="s">
        <v>61</v>
      </c>
      <c r="S11" s="5" t="s">
        <v>61</v>
      </c>
      <c r="T11" s="5" t="s">
        <v>61</v>
      </c>
      <c r="U11" s="5" t="s">
        <v>61</v>
      </c>
      <c r="V11" s="5" t="s">
        <v>60</v>
      </c>
      <c r="W11" s="5" t="s">
        <v>60</v>
      </c>
      <c r="X11" s="5" t="s">
        <v>58</v>
      </c>
      <c r="Y11" s="5" t="s">
        <v>58</v>
      </c>
      <c r="Z11" s="5" t="s">
        <v>61</v>
      </c>
      <c r="AA11" s="5" t="s">
        <v>88</v>
      </c>
      <c r="AB11" s="5" t="s">
        <v>61</v>
      </c>
      <c r="AC11" s="5" t="s">
        <v>61</v>
      </c>
      <c r="AD11" s="5" t="s">
        <v>61</v>
      </c>
      <c r="AE11" s="5" t="s">
        <v>61</v>
      </c>
      <c r="AF11" s="5" t="s">
        <v>58</v>
      </c>
      <c r="AG11" s="5" t="s">
        <v>58</v>
      </c>
      <c r="AH11" s="5" t="s">
        <v>59</v>
      </c>
      <c r="AI11" s="5" t="s">
        <v>58</v>
      </c>
      <c r="AJ11" s="5" t="s">
        <v>58</v>
      </c>
      <c r="AK11" s="5" t="s">
        <v>61</v>
      </c>
      <c r="AL11" s="5" t="s">
        <v>58</v>
      </c>
      <c r="AM11" s="5" t="s">
        <v>58</v>
      </c>
      <c r="AN11" s="5" t="s">
        <v>61</v>
      </c>
      <c r="AO11" s="5" t="s">
        <v>59</v>
      </c>
      <c r="AP11" s="5" t="s">
        <v>59</v>
      </c>
      <c r="AQ11" s="5" t="s">
        <v>59</v>
      </c>
      <c r="AR11" s="5" t="s">
        <v>59</v>
      </c>
      <c r="AS11" s="5" t="s">
        <v>59</v>
      </c>
      <c r="AT11" s="5" t="s">
        <v>58</v>
      </c>
      <c r="AU11" s="5" t="s">
        <v>89</v>
      </c>
      <c r="AV11" s="5" t="s">
        <v>61</v>
      </c>
      <c r="AW11" s="5" t="s">
        <v>58</v>
      </c>
      <c r="AX11" s="5" t="s">
        <v>61</v>
      </c>
      <c r="AY11" s="5" t="s">
        <v>61</v>
      </c>
      <c r="AZ11" s="5" t="s">
        <v>58</v>
      </c>
      <c r="BA11" s="5" t="s">
        <v>61</v>
      </c>
      <c r="BB11" s="5" t="s">
        <v>77</v>
      </c>
      <c r="BC11" s="5" t="s">
        <v>61</v>
      </c>
      <c r="BD11" s="5" t="s">
        <v>61</v>
      </c>
      <c r="BE11" s="5" t="s">
        <v>61</v>
      </c>
      <c r="BF11" s="5" t="s">
        <v>58</v>
      </c>
      <c r="BG11" s="5" t="s">
        <v>61</v>
      </c>
      <c r="BH11" s="5" t="s">
        <v>61</v>
      </c>
      <c r="BI11" s="6" t="s">
        <v>90</v>
      </c>
    </row>
    <row r="12" spans="1:61" ht="12.5" x14ac:dyDescent="0.25">
      <c r="A12">
        <v>11</v>
      </c>
      <c r="B12" s="1">
        <v>45813.825067708334</v>
      </c>
      <c r="C12" s="13" t="s">
        <v>135</v>
      </c>
      <c r="D12" s="2" t="s">
        <v>55</v>
      </c>
      <c r="E12" s="2">
        <v>2001</v>
      </c>
      <c r="F12" s="2" t="s">
        <v>69</v>
      </c>
      <c r="G12" s="2" t="s">
        <v>63</v>
      </c>
      <c r="H12" s="2" t="s">
        <v>58</v>
      </c>
      <c r="I12" s="2" t="s">
        <v>58</v>
      </c>
      <c r="J12" s="2" t="s">
        <v>58</v>
      </c>
      <c r="K12" s="2" t="s">
        <v>58</v>
      </c>
      <c r="L12" s="2" t="s">
        <v>58</v>
      </c>
      <c r="M12" s="2" t="s">
        <v>58</v>
      </c>
      <c r="N12" s="2" t="s">
        <v>58</v>
      </c>
      <c r="O12" s="2"/>
      <c r="P12" s="2" t="s">
        <v>61</v>
      </c>
      <c r="Q12" s="2" t="s">
        <v>58</v>
      </c>
      <c r="R12" s="2" t="s">
        <v>58</v>
      </c>
      <c r="S12" s="2" t="s">
        <v>58</v>
      </c>
      <c r="T12" s="2" t="s">
        <v>58</v>
      </c>
      <c r="U12" s="2" t="s">
        <v>58</v>
      </c>
      <c r="V12" s="2" t="s">
        <v>60</v>
      </c>
      <c r="W12" s="2" t="s">
        <v>77</v>
      </c>
      <c r="X12" s="2" t="s">
        <v>58</v>
      </c>
      <c r="Y12" s="2" t="s">
        <v>59</v>
      </c>
      <c r="Z12" s="2" t="s">
        <v>61</v>
      </c>
      <c r="AA12" s="2"/>
      <c r="AB12" s="2" t="s">
        <v>58</v>
      </c>
      <c r="AC12" s="2" t="s">
        <v>58</v>
      </c>
      <c r="AD12" s="2" t="s">
        <v>61</v>
      </c>
      <c r="AE12" s="2" t="s">
        <v>58</v>
      </c>
      <c r="AF12" s="2" t="s">
        <v>58</v>
      </c>
      <c r="AG12" s="2" t="s">
        <v>59</v>
      </c>
      <c r="AH12" s="2" t="s">
        <v>59</v>
      </c>
      <c r="AI12" s="2" t="s">
        <v>59</v>
      </c>
      <c r="AJ12" s="2" t="s">
        <v>58</v>
      </c>
      <c r="AK12" s="2" t="s">
        <v>59</v>
      </c>
      <c r="AL12" s="2" t="s">
        <v>58</v>
      </c>
      <c r="AM12" s="2" t="s">
        <v>58</v>
      </c>
      <c r="AN12" s="2" t="s">
        <v>58</v>
      </c>
      <c r="AO12" s="2" t="s">
        <v>58</v>
      </c>
      <c r="AP12" s="2" t="s">
        <v>58</v>
      </c>
      <c r="AQ12" s="2" t="s">
        <v>58</v>
      </c>
      <c r="AR12" s="2" t="s">
        <v>58</v>
      </c>
      <c r="AS12" s="2" t="s">
        <v>58</v>
      </c>
      <c r="AT12" s="2" t="s">
        <v>58</v>
      </c>
      <c r="AU12" s="2"/>
      <c r="AV12" s="2" t="s">
        <v>58</v>
      </c>
      <c r="AW12" s="2" t="s">
        <v>59</v>
      </c>
      <c r="AX12" s="2" t="s">
        <v>58</v>
      </c>
      <c r="AY12" s="2" t="s">
        <v>58</v>
      </c>
      <c r="AZ12" s="2" t="s">
        <v>58</v>
      </c>
      <c r="BA12" s="2" t="s">
        <v>58</v>
      </c>
      <c r="BB12" s="2" t="s">
        <v>60</v>
      </c>
      <c r="BC12" s="2" t="s">
        <v>58</v>
      </c>
      <c r="BD12" s="2" t="s">
        <v>58</v>
      </c>
      <c r="BE12" s="2" t="s">
        <v>58</v>
      </c>
      <c r="BF12" s="2" t="s">
        <v>59</v>
      </c>
      <c r="BG12" s="2" t="s">
        <v>58</v>
      </c>
      <c r="BH12" s="2" t="s">
        <v>58</v>
      </c>
      <c r="BI12" s="3"/>
    </row>
    <row r="13" spans="1:61" ht="12.5" x14ac:dyDescent="0.25">
      <c r="A13">
        <v>12</v>
      </c>
      <c r="B13" s="4">
        <v>45813.828760717588</v>
      </c>
      <c r="C13" s="15" t="s">
        <v>136</v>
      </c>
      <c r="D13" s="5" t="s">
        <v>74</v>
      </c>
      <c r="E13" s="5">
        <v>1978</v>
      </c>
      <c r="F13" s="5" t="s">
        <v>75</v>
      </c>
      <c r="G13" s="5" t="s">
        <v>63</v>
      </c>
      <c r="H13" s="5" t="s">
        <v>61</v>
      </c>
      <c r="I13" s="5" t="s">
        <v>61</v>
      </c>
      <c r="J13" s="5" t="s">
        <v>61</v>
      </c>
      <c r="K13" s="5" t="s">
        <v>61</v>
      </c>
      <c r="L13" s="5" t="s">
        <v>61</v>
      </c>
      <c r="M13" s="5" t="s">
        <v>61</v>
      </c>
      <c r="N13" s="5" t="s">
        <v>61</v>
      </c>
      <c r="O13" s="5"/>
      <c r="P13" s="5" t="s">
        <v>61</v>
      </c>
      <c r="Q13" s="5" t="s">
        <v>61</v>
      </c>
      <c r="R13" s="5" t="s">
        <v>61</v>
      </c>
      <c r="S13" s="5" t="s">
        <v>61</v>
      </c>
      <c r="T13" s="5" t="s">
        <v>61</v>
      </c>
      <c r="U13" s="5" t="s">
        <v>61</v>
      </c>
      <c r="V13" s="5" t="s">
        <v>60</v>
      </c>
      <c r="W13" s="5" t="s">
        <v>60</v>
      </c>
      <c r="X13" s="5" t="s">
        <v>61</v>
      </c>
      <c r="Y13" s="5" t="s">
        <v>61</v>
      </c>
      <c r="Z13" s="5" t="s">
        <v>61</v>
      </c>
      <c r="AA13" s="5"/>
      <c r="AB13" s="5" t="s">
        <v>61</v>
      </c>
      <c r="AC13" s="5" t="s">
        <v>61</v>
      </c>
      <c r="AD13" s="5" t="s">
        <v>61</v>
      </c>
      <c r="AE13" s="5" t="s">
        <v>61</v>
      </c>
      <c r="AF13" s="5" t="s">
        <v>61</v>
      </c>
      <c r="AG13" s="5" t="s">
        <v>58</v>
      </c>
      <c r="AH13" s="5" t="s">
        <v>58</v>
      </c>
      <c r="AI13" s="5" t="s">
        <v>61</v>
      </c>
      <c r="AJ13" s="5" t="s">
        <v>58</v>
      </c>
      <c r="AK13" s="5" t="s">
        <v>58</v>
      </c>
      <c r="AL13" s="5" t="s">
        <v>58</v>
      </c>
      <c r="AM13" s="5" t="s">
        <v>58</v>
      </c>
      <c r="AN13" s="5" t="s">
        <v>61</v>
      </c>
      <c r="AO13" s="5" t="s">
        <v>58</v>
      </c>
      <c r="AP13" s="5" t="s">
        <v>61</v>
      </c>
      <c r="AQ13" s="5" t="s">
        <v>58</v>
      </c>
      <c r="AR13" s="5" t="s">
        <v>58</v>
      </c>
      <c r="AS13" s="5" t="s">
        <v>58</v>
      </c>
      <c r="AT13" s="5" t="s">
        <v>58</v>
      </c>
      <c r="AU13" s="5"/>
      <c r="AV13" s="5" t="s">
        <v>61</v>
      </c>
      <c r="AW13" s="5" t="s">
        <v>61</v>
      </c>
      <c r="AX13" s="5" t="s">
        <v>61</v>
      </c>
      <c r="AY13" s="5" t="s">
        <v>61</v>
      </c>
      <c r="AZ13" s="5" t="s">
        <v>61</v>
      </c>
      <c r="BA13" s="5" t="s">
        <v>59</v>
      </c>
      <c r="BB13" s="5" t="s">
        <v>77</v>
      </c>
      <c r="BC13" s="5" t="s">
        <v>61</v>
      </c>
      <c r="BD13" s="5" t="s">
        <v>61</v>
      </c>
      <c r="BE13" s="5" t="s">
        <v>61</v>
      </c>
      <c r="BF13" s="5" t="s">
        <v>61</v>
      </c>
      <c r="BG13" s="5" t="s">
        <v>61</v>
      </c>
      <c r="BH13" s="5" t="s">
        <v>61</v>
      </c>
      <c r="BI13" s="6"/>
    </row>
    <row r="14" spans="1:61" ht="12.5" x14ac:dyDescent="0.25">
      <c r="A14">
        <v>13</v>
      </c>
      <c r="B14" s="1">
        <v>45813.836865624995</v>
      </c>
      <c r="C14" s="14" t="s">
        <v>137</v>
      </c>
      <c r="D14" s="2" t="s">
        <v>55</v>
      </c>
      <c r="E14" s="2">
        <v>1995</v>
      </c>
      <c r="F14" s="2" t="s">
        <v>56</v>
      </c>
      <c r="G14" s="2" t="s">
        <v>57</v>
      </c>
      <c r="H14" s="2" t="s">
        <v>61</v>
      </c>
      <c r="I14" s="2" t="s">
        <v>58</v>
      </c>
      <c r="J14" s="2" t="s">
        <v>58</v>
      </c>
      <c r="K14" s="2" t="s">
        <v>59</v>
      </c>
      <c r="L14" s="2" t="s">
        <v>59</v>
      </c>
      <c r="M14" s="2" t="s">
        <v>58</v>
      </c>
      <c r="N14" s="2" t="s">
        <v>59</v>
      </c>
      <c r="O14" s="2" t="s">
        <v>91</v>
      </c>
      <c r="P14" s="2" t="s">
        <v>58</v>
      </c>
      <c r="Q14" s="2" t="s">
        <v>58</v>
      </c>
      <c r="R14" s="2" t="s">
        <v>58</v>
      </c>
      <c r="S14" s="2" t="s">
        <v>58</v>
      </c>
      <c r="T14" s="2" t="s">
        <v>58</v>
      </c>
      <c r="U14" s="2" t="s">
        <v>59</v>
      </c>
      <c r="V14" s="2" t="s">
        <v>59</v>
      </c>
      <c r="W14" s="2" t="s">
        <v>60</v>
      </c>
      <c r="X14" s="2" t="s">
        <v>58</v>
      </c>
      <c r="Y14" s="2" t="s">
        <v>60</v>
      </c>
      <c r="Z14" s="2" t="s">
        <v>58</v>
      </c>
      <c r="AA14" s="2"/>
      <c r="AB14" s="2" t="s">
        <v>58</v>
      </c>
      <c r="AC14" s="2" t="s">
        <v>58</v>
      </c>
      <c r="AD14" s="2" t="s">
        <v>58</v>
      </c>
      <c r="AE14" s="2" t="s">
        <v>59</v>
      </c>
      <c r="AF14" s="2" t="s">
        <v>59</v>
      </c>
      <c r="AG14" s="2" t="s">
        <v>59</v>
      </c>
      <c r="AH14" s="2" t="s">
        <v>59</v>
      </c>
      <c r="AI14" s="2" t="s">
        <v>58</v>
      </c>
      <c r="AJ14" s="2" t="s">
        <v>58</v>
      </c>
      <c r="AK14" s="2" t="s">
        <v>58</v>
      </c>
      <c r="AL14" s="2" t="s">
        <v>58</v>
      </c>
      <c r="AM14" s="2" t="s">
        <v>58</v>
      </c>
      <c r="AN14" s="2" t="s">
        <v>58</v>
      </c>
      <c r="AO14" s="2" t="s">
        <v>59</v>
      </c>
      <c r="AP14" s="2" t="s">
        <v>58</v>
      </c>
      <c r="AQ14" s="2" t="s">
        <v>58</v>
      </c>
      <c r="AR14" s="2" t="s">
        <v>58</v>
      </c>
      <c r="AS14" s="2" t="s">
        <v>59</v>
      </c>
      <c r="AT14" s="2" t="s">
        <v>58</v>
      </c>
      <c r="AU14" s="2"/>
      <c r="AV14" s="2" t="s">
        <v>58</v>
      </c>
      <c r="AW14" s="2" t="s">
        <v>59</v>
      </c>
      <c r="AX14" s="2" t="s">
        <v>58</v>
      </c>
      <c r="AY14" s="2" t="s">
        <v>58</v>
      </c>
      <c r="AZ14" s="2" t="s">
        <v>58</v>
      </c>
      <c r="BA14" s="2" t="s">
        <v>59</v>
      </c>
      <c r="BB14" s="2" t="s">
        <v>58</v>
      </c>
      <c r="BC14" s="2" t="s">
        <v>58</v>
      </c>
      <c r="BD14" s="2" t="s">
        <v>58</v>
      </c>
      <c r="BE14" s="2" t="s">
        <v>61</v>
      </c>
      <c r="BF14" s="2" t="s">
        <v>58</v>
      </c>
      <c r="BG14" s="2" t="s">
        <v>58</v>
      </c>
      <c r="BH14" s="2" t="s">
        <v>58</v>
      </c>
      <c r="BI14" s="3"/>
    </row>
    <row r="15" spans="1:61" ht="12.5" x14ac:dyDescent="0.25">
      <c r="A15">
        <v>14</v>
      </c>
      <c r="B15" s="4">
        <v>45813.859790416667</v>
      </c>
      <c r="C15" s="15" t="s">
        <v>138</v>
      </c>
      <c r="D15" s="5" t="s">
        <v>74</v>
      </c>
      <c r="E15" s="5">
        <v>1987</v>
      </c>
      <c r="F15" s="5" t="s">
        <v>56</v>
      </c>
      <c r="G15" s="5" t="s">
        <v>92</v>
      </c>
      <c r="H15" s="5" t="s">
        <v>61</v>
      </c>
      <c r="I15" s="5" t="s">
        <v>58</v>
      </c>
      <c r="J15" s="5" t="s">
        <v>61</v>
      </c>
      <c r="K15" s="5" t="s">
        <v>58</v>
      </c>
      <c r="L15" s="5" t="s">
        <v>58</v>
      </c>
      <c r="M15" s="5" t="s">
        <v>59</v>
      </c>
      <c r="N15" s="5" t="s">
        <v>61</v>
      </c>
      <c r="O15" s="5" t="s">
        <v>93</v>
      </c>
      <c r="P15" s="5" t="s">
        <v>61</v>
      </c>
      <c r="Q15" s="5" t="s">
        <v>61</v>
      </c>
      <c r="R15" s="5" t="s">
        <v>61</v>
      </c>
      <c r="S15" s="5" t="s">
        <v>61</v>
      </c>
      <c r="T15" s="5" t="s">
        <v>61</v>
      </c>
      <c r="U15" s="5" t="s">
        <v>61</v>
      </c>
      <c r="V15" s="5" t="s">
        <v>60</v>
      </c>
      <c r="W15" s="5" t="s">
        <v>60</v>
      </c>
      <c r="X15" s="5" t="s">
        <v>60</v>
      </c>
      <c r="Y15" s="5" t="s">
        <v>60</v>
      </c>
      <c r="Z15" s="5" t="s">
        <v>61</v>
      </c>
      <c r="AA15" s="5" t="s">
        <v>94</v>
      </c>
      <c r="AB15" s="5" t="s">
        <v>58</v>
      </c>
      <c r="AC15" s="5" t="s">
        <v>60</v>
      </c>
      <c r="AD15" s="5" t="s">
        <v>59</v>
      </c>
      <c r="AE15" s="5" t="s">
        <v>58</v>
      </c>
      <c r="AF15" s="5" t="s">
        <v>58</v>
      </c>
      <c r="AG15" s="5" t="s">
        <v>60</v>
      </c>
      <c r="AH15" s="5" t="s">
        <v>60</v>
      </c>
      <c r="AI15" s="5" t="s">
        <v>59</v>
      </c>
      <c r="AJ15" s="5" t="s">
        <v>59</v>
      </c>
      <c r="AK15" s="5" t="s">
        <v>60</v>
      </c>
      <c r="AL15" s="5" t="s">
        <v>61</v>
      </c>
      <c r="AM15" s="5" t="s">
        <v>59</v>
      </c>
      <c r="AN15" s="5" t="s">
        <v>58</v>
      </c>
      <c r="AO15" s="5" t="s">
        <v>59</v>
      </c>
      <c r="AP15" s="5" t="s">
        <v>58</v>
      </c>
      <c r="AQ15" s="5" t="s">
        <v>58</v>
      </c>
      <c r="AR15" s="5" t="s">
        <v>58</v>
      </c>
      <c r="AS15" s="5" t="s">
        <v>58</v>
      </c>
      <c r="AT15" s="5" t="s">
        <v>58</v>
      </c>
      <c r="AU15" s="5" t="s">
        <v>95</v>
      </c>
      <c r="AV15" s="5" t="s">
        <v>58</v>
      </c>
      <c r="AW15" s="5" t="s">
        <v>59</v>
      </c>
      <c r="AX15" s="5" t="s">
        <v>58</v>
      </c>
      <c r="AY15" s="5" t="s">
        <v>59</v>
      </c>
      <c r="AZ15" s="5" t="s">
        <v>59</v>
      </c>
      <c r="BA15" s="5" t="s">
        <v>60</v>
      </c>
      <c r="BB15" s="5" t="s">
        <v>60</v>
      </c>
      <c r="BC15" s="5" t="s">
        <v>58</v>
      </c>
      <c r="BD15" s="5" t="s">
        <v>58</v>
      </c>
      <c r="BE15" s="5" t="s">
        <v>58</v>
      </c>
      <c r="BF15" s="5" t="s">
        <v>58</v>
      </c>
      <c r="BG15" s="5" t="s">
        <v>61</v>
      </c>
      <c r="BH15" s="5" t="s">
        <v>61</v>
      </c>
      <c r="BI15" s="6" t="s">
        <v>96</v>
      </c>
    </row>
    <row r="16" spans="1:61" ht="12.5" x14ac:dyDescent="0.25">
      <c r="A16">
        <v>15</v>
      </c>
      <c r="B16" s="1">
        <v>45813.867835497687</v>
      </c>
      <c r="C16" s="14" t="s">
        <v>139</v>
      </c>
      <c r="D16" s="2" t="s">
        <v>55</v>
      </c>
      <c r="E16" s="2">
        <v>2000</v>
      </c>
      <c r="F16" s="2" t="s">
        <v>69</v>
      </c>
      <c r="G16" s="2" t="s">
        <v>63</v>
      </c>
      <c r="H16" s="2" t="s">
        <v>58</v>
      </c>
      <c r="I16" s="2" t="s">
        <v>58</v>
      </c>
      <c r="J16" s="2" t="s">
        <v>58</v>
      </c>
      <c r="K16" s="2" t="s">
        <v>58</v>
      </c>
      <c r="L16" s="2" t="s">
        <v>59</v>
      </c>
      <c r="M16" s="2" t="s">
        <v>58</v>
      </c>
      <c r="N16" s="2" t="s">
        <v>58</v>
      </c>
      <c r="O16" s="2"/>
      <c r="P16" s="2" t="s">
        <v>61</v>
      </c>
      <c r="Q16" s="2" t="s">
        <v>58</v>
      </c>
      <c r="R16" s="2" t="s">
        <v>58</v>
      </c>
      <c r="S16" s="2" t="s">
        <v>58</v>
      </c>
      <c r="T16" s="2" t="s">
        <v>61</v>
      </c>
      <c r="U16" s="2" t="s">
        <v>58</v>
      </c>
      <c r="V16" s="2" t="s">
        <v>60</v>
      </c>
      <c r="W16" s="2" t="s">
        <v>77</v>
      </c>
      <c r="X16" s="2" t="s">
        <v>58</v>
      </c>
      <c r="Y16" s="2" t="s">
        <v>59</v>
      </c>
      <c r="Z16" s="2" t="s">
        <v>61</v>
      </c>
      <c r="AA16" s="2"/>
      <c r="AB16" s="2" t="s">
        <v>58</v>
      </c>
      <c r="AC16" s="2" t="s">
        <v>58</v>
      </c>
      <c r="AD16" s="2" t="s">
        <v>58</v>
      </c>
      <c r="AE16" s="2" t="s">
        <v>58</v>
      </c>
      <c r="AF16" s="2" t="s">
        <v>58</v>
      </c>
      <c r="AG16" s="2" t="s">
        <v>59</v>
      </c>
      <c r="AH16" s="2" t="s">
        <v>58</v>
      </c>
      <c r="AI16" s="2" t="s">
        <v>59</v>
      </c>
      <c r="AJ16" s="2" t="s">
        <v>58</v>
      </c>
      <c r="AK16" s="2" t="s">
        <v>58</v>
      </c>
      <c r="AL16" s="2" t="s">
        <v>58</v>
      </c>
      <c r="AM16" s="2" t="s">
        <v>58</v>
      </c>
      <c r="AN16" s="2" t="s">
        <v>58</v>
      </c>
      <c r="AO16" s="2" t="s">
        <v>58</v>
      </c>
      <c r="AP16" s="2" t="s">
        <v>58</v>
      </c>
      <c r="AQ16" s="2" t="s">
        <v>58</v>
      </c>
      <c r="AR16" s="2" t="s">
        <v>58</v>
      </c>
      <c r="AS16" s="2" t="s">
        <v>58</v>
      </c>
      <c r="AT16" s="2" t="s">
        <v>58</v>
      </c>
      <c r="AU16" s="2"/>
      <c r="AV16" s="2" t="s">
        <v>58</v>
      </c>
      <c r="AW16" s="2" t="s">
        <v>58</v>
      </c>
      <c r="AX16" s="2" t="s">
        <v>58</v>
      </c>
      <c r="AY16" s="2" t="s">
        <v>58</v>
      </c>
      <c r="AZ16" s="2" t="s">
        <v>58</v>
      </c>
      <c r="BA16" s="2" t="s">
        <v>60</v>
      </c>
      <c r="BB16" s="2" t="s">
        <v>60</v>
      </c>
      <c r="BC16" s="2" t="s">
        <v>58</v>
      </c>
      <c r="BD16" s="2" t="s">
        <v>58</v>
      </c>
      <c r="BE16" s="2" t="s">
        <v>58</v>
      </c>
      <c r="BF16" s="2" t="s">
        <v>58</v>
      </c>
      <c r="BG16" s="2" t="s">
        <v>58</v>
      </c>
      <c r="BH16" s="2" t="s">
        <v>58</v>
      </c>
      <c r="BI16" s="3"/>
    </row>
    <row r="17" spans="1:61" ht="12.5" x14ac:dyDescent="0.25">
      <c r="A17">
        <v>16</v>
      </c>
      <c r="B17" s="4">
        <v>45814.014150833333</v>
      </c>
      <c r="C17" s="15" t="s">
        <v>140</v>
      </c>
      <c r="D17" s="5" t="s">
        <v>74</v>
      </c>
      <c r="E17" s="5">
        <v>1976</v>
      </c>
      <c r="F17" s="5" t="s">
        <v>75</v>
      </c>
      <c r="G17" s="5" t="s">
        <v>68</v>
      </c>
      <c r="H17" s="5" t="s">
        <v>61</v>
      </c>
      <c r="I17" s="5" t="s">
        <v>61</v>
      </c>
      <c r="J17" s="5" t="s">
        <v>61</v>
      </c>
      <c r="K17" s="5" t="s">
        <v>61</v>
      </c>
      <c r="L17" s="5" t="s">
        <v>61</v>
      </c>
      <c r="M17" s="5" t="s">
        <v>61</v>
      </c>
      <c r="N17" s="5" t="s">
        <v>61</v>
      </c>
      <c r="O17" s="5" t="s">
        <v>97</v>
      </c>
      <c r="P17" s="5" t="s">
        <v>61</v>
      </c>
      <c r="Q17" s="5" t="s">
        <v>61</v>
      </c>
      <c r="R17" s="5" t="s">
        <v>61</v>
      </c>
      <c r="S17" s="5" t="s">
        <v>61</v>
      </c>
      <c r="T17" s="5" t="s">
        <v>61</v>
      </c>
      <c r="U17" s="5" t="s">
        <v>61</v>
      </c>
      <c r="V17" s="5" t="s">
        <v>60</v>
      </c>
      <c r="W17" s="5" t="s">
        <v>60</v>
      </c>
      <c r="X17" s="5" t="s">
        <v>58</v>
      </c>
      <c r="Y17" s="5" t="s">
        <v>61</v>
      </c>
      <c r="Z17" s="5" t="s">
        <v>61</v>
      </c>
      <c r="AA17" s="5" t="s">
        <v>98</v>
      </c>
      <c r="AB17" s="5" t="s">
        <v>61</v>
      </c>
      <c r="AC17" s="5" t="s">
        <v>61</v>
      </c>
      <c r="AD17" s="5" t="s">
        <v>61</v>
      </c>
      <c r="AE17" s="5" t="s">
        <v>61</v>
      </c>
      <c r="AF17" s="5" t="s">
        <v>58</v>
      </c>
      <c r="AG17" s="5" t="s">
        <v>58</v>
      </c>
      <c r="AH17" s="5" t="s">
        <v>61</v>
      </c>
      <c r="AI17" s="5" t="s">
        <v>58</v>
      </c>
      <c r="AJ17" s="5" t="s">
        <v>58</v>
      </c>
      <c r="AK17" s="5" t="s">
        <v>58</v>
      </c>
      <c r="AL17" s="5" t="s">
        <v>61</v>
      </c>
      <c r="AM17" s="5" t="s">
        <v>61</v>
      </c>
      <c r="AN17" s="5" t="s">
        <v>61</v>
      </c>
      <c r="AO17" s="5" t="s">
        <v>61</v>
      </c>
      <c r="AP17" s="5" t="s">
        <v>61</v>
      </c>
      <c r="AQ17" s="5" t="s">
        <v>58</v>
      </c>
      <c r="AR17" s="5" t="s">
        <v>58</v>
      </c>
      <c r="AS17" s="5" t="s">
        <v>58</v>
      </c>
      <c r="AT17" s="5" t="s">
        <v>61</v>
      </c>
      <c r="AU17" s="5" t="s">
        <v>99</v>
      </c>
      <c r="AV17" s="5" t="s">
        <v>61</v>
      </c>
      <c r="AW17" s="5" t="s">
        <v>61</v>
      </c>
      <c r="AX17" s="5" t="s">
        <v>61</v>
      </c>
      <c r="AY17" s="5" t="s">
        <v>61</v>
      </c>
      <c r="AZ17" s="5" t="s">
        <v>61</v>
      </c>
      <c r="BA17" s="5" t="s">
        <v>61</v>
      </c>
      <c r="BB17" s="5" t="s">
        <v>77</v>
      </c>
      <c r="BC17" s="5" t="s">
        <v>61</v>
      </c>
      <c r="BD17" s="5" t="s">
        <v>61</v>
      </c>
      <c r="BE17" s="5" t="s">
        <v>61</v>
      </c>
      <c r="BF17" s="5" t="s">
        <v>61</v>
      </c>
      <c r="BG17" s="5" t="s">
        <v>61</v>
      </c>
      <c r="BH17" s="5" t="s">
        <v>61</v>
      </c>
      <c r="BI17" s="6" t="s">
        <v>100</v>
      </c>
    </row>
    <row r="18" spans="1:61" ht="12.5" x14ac:dyDescent="0.25">
      <c r="A18">
        <v>17</v>
      </c>
      <c r="B18" s="1">
        <v>45814.02139829861</v>
      </c>
      <c r="C18" s="14" t="s">
        <v>141</v>
      </c>
      <c r="D18" s="2" t="s">
        <v>55</v>
      </c>
      <c r="E18" s="2">
        <v>1991</v>
      </c>
      <c r="F18" s="2" t="s">
        <v>56</v>
      </c>
      <c r="G18" s="2" t="s">
        <v>57</v>
      </c>
      <c r="H18" s="2" t="s">
        <v>58</v>
      </c>
      <c r="I18" s="2" t="s">
        <v>58</v>
      </c>
      <c r="J18" s="2" t="s">
        <v>58</v>
      </c>
      <c r="K18" s="2" t="s">
        <v>58</v>
      </c>
      <c r="L18" s="2" t="s">
        <v>58</v>
      </c>
      <c r="M18" s="2" t="s">
        <v>58</v>
      </c>
      <c r="N18" s="2" t="s">
        <v>58</v>
      </c>
      <c r="O18" s="2" t="s">
        <v>101</v>
      </c>
      <c r="P18" s="2" t="s">
        <v>58</v>
      </c>
      <c r="Q18" s="2" t="s">
        <v>58</v>
      </c>
      <c r="R18" s="2" t="s">
        <v>58</v>
      </c>
      <c r="S18" s="2" t="s">
        <v>58</v>
      </c>
      <c r="T18" s="2" t="s">
        <v>58</v>
      </c>
      <c r="U18" s="2" t="s">
        <v>58</v>
      </c>
      <c r="V18" s="2" t="s">
        <v>59</v>
      </c>
      <c r="W18" s="2" t="s">
        <v>59</v>
      </c>
      <c r="X18" s="2" t="s">
        <v>58</v>
      </c>
      <c r="Y18" s="2" t="s">
        <v>59</v>
      </c>
      <c r="Z18" s="2" t="s">
        <v>58</v>
      </c>
      <c r="AA18" s="2" t="s">
        <v>102</v>
      </c>
      <c r="AB18" s="2" t="s">
        <v>58</v>
      </c>
      <c r="AC18" s="2" t="s">
        <v>58</v>
      </c>
      <c r="AD18" s="2" t="s">
        <v>58</v>
      </c>
      <c r="AE18" s="2" t="s">
        <v>58</v>
      </c>
      <c r="AF18" s="2" t="s">
        <v>58</v>
      </c>
      <c r="AG18" s="2" t="s">
        <v>59</v>
      </c>
      <c r="AH18" s="2" t="s">
        <v>59</v>
      </c>
      <c r="AI18" s="2" t="s">
        <v>58</v>
      </c>
      <c r="AJ18" s="2" t="s">
        <v>59</v>
      </c>
      <c r="AK18" s="2" t="s">
        <v>59</v>
      </c>
      <c r="AL18" s="2" t="s">
        <v>58</v>
      </c>
      <c r="AM18" s="2" t="s">
        <v>59</v>
      </c>
      <c r="AN18" s="2" t="s">
        <v>59</v>
      </c>
      <c r="AO18" s="2" t="s">
        <v>58</v>
      </c>
      <c r="AP18" s="2" t="s">
        <v>58</v>
      </c>
      <c r="AQ18" s="2" t="s">
        <v>58</v>
      </c>
      <c r="AR18" s="2" t="s">
        <v>58</v>
      </c>
      <c r="AS18" s="2" t="s">
        <v>58</v>
      </c>
      <c r="AT18" s="2" t="s">
        <v>58</v>
      </c>
      <c r="AU18" s="2" t="s">
        <v>103</v>
      </c>
      <c r="AV18" s="2" t="s">
        <v>58</v>
      </c>
      <c r="AW18" s="2" t="s">
        <v>58</v>
      </c>
      <c r="AX18" s="2" t="s">
        <v>58</v>
      </c>
      <c r="AY18" s="2" t="s">
        <v>58</v>
      </c>
      <c r="AZ18" s="2" t="s">
        <v>59</v>
      </c>
      <c r="BA18" s="2" t="s">
        <v>58</v>
      </c>
      <c r="BB18" s="2" t="s">
        <v>60</v>
      </c>
      <c r="BC18" s="2" t="s">
        <v>58</v>
      </c>
      <c r="BD18" s="2" t="s">
        <v>58</v>
      </c>
      <c r="BE18" s="2" t="s">
        <v>58</v>
      </c>
      <c r="BF18" s="2" t="s">
        <v>58</v>
      </c>
      <c r="BG18" s="2" t="s">
        <v>58</v>
      </c>
      <c r="BH18" s="2" t="s">
        <v>58</v>
      </c>
      <c r="BI18" s="3" t="s">
        <v>104</v>
      </c>
    </row>
    <row r="19" spans="1:61" ht="12.5" x14ac:dyDescent="0.25">
      <c r="A19">
        <v>18</v>
      </c>
      <c r="B19" s="4">
        <v>45814.23492101852</v>
      </c>
      <c r="C19" s="15" t="s">
        <v>142</v>
      </c>
      <c r="D19" s="5" t="s">
        <v>55</v>
      </c>
      <c r="E19" s="5">
        <v>1976</v>
      </c>
      <c r="F19" s="5" t="s">
        <v>62</v>
      </c>
      <c r="G19" s="5" t="s">
        <v>92</v>
      </c>
      <c r="H19" s="5" t="s">
        <v>61</v>
      </c>
      <c r="I19" s="5" t="s">
        <v>61</v>
      </c>
      <c r="J19" s="5" t="s">
        <v>61</v>
      </c>
      <c r="K19" s="5" t="s">
        <v>58</v>
      </c>
      <c r="L19" s="5" t="s">
        <v>58</v>
      </c>
      <c r="M19" s="5" t="s">
        <v>58</v>
      </c>
      <c r="N19" s="5" t="s">
        <v>61</v>
      </c>
      <c r="O19" s="5"/>
      <c r="P19" s="5" t="s">
        <v>58</v>
      </c>
      <c r="Q19" s="5" t="s">
        <v>58</v>
      </c>
      <c r="R19" s="5" t="s">
        <v>61</v>
      </c>
      <c r="S19" s="5" t="s">
        <v>58</v>
      </c>
      <c r="T19" s="5" t="s">
        <v>58</v>
      </c>
      <c r="U19" s="5" t="s">
        <v>58</v>
      </c>
      <c r="V19" s="5" t="s">
        <v>60</v>
      </c>
      <c r="W19" s="5" t="s">
        <v>60</v>
      </c>
      <c r="X19" s="5" t="s">
        <v>58</v>
      </c>
      <c r="Y19" s="5" t="s">
        <v>59</v>
      </c>
      <c r="Z19" s="5" t="s">
        <v>61</v>
      </c>
      <c r="AA19" s="5"/>
      <c r="AB19" s="5" t="s">
        <v>61</v>
      </c>
      <c r="AC19" s="5" t="s">
        <v>61</v>
      </c>
      <c r="AD19" s="5" t="s">
        <v>61</v>
      </c>
      <c r="AE19" s="5" t="s">
        <v>61</v>
      </c>
      <c r="AF19" s="5" t="s">
        <v>59</v>
      </c>
      <c r="AG19" s="5" t="s">
        <v>59</v>
      </c>
      <c r="AH19" s="5" t="s">
        <v>58</v>
      </c>
      <c r="AI19" s="5" t="s">
        <v>60</v>
      </c>
      <c r="AJ19" s="5" t="s">
        <v>58</v>
      </c>
      <c r="AK19" s="5" t="s">
        <v>58</v>
      </c>
      <c r="AL19" s="5" t="s">
        <v>58</v>
      </c>
      <c r="AM19" s="5" t="s">
        <v>58</v>
      </c>
      <c r="AN19" s="5" t="s">
        <v>60</v>
      </c>
      <c r="AO19" s="5" t="s">
        <v>59</v>
      </c>
      <c r="AP19" s="5" t="s">
        <v>58</v>
      </c>
      <c r="AQ19" s="5" t="s">
        <v>58</v>
      </c>
      <c r="AR19" s="5" t="s">
        <v>59</v>
      </c>
      <c r="AS19" s="5" t="s">
        <v>58</v>
      </c>
      <c r="AT19" s="5" t="s">
        <v>59</v>
      </c>
      <c r="AU19" s="5"/>
      <c r="AV19" s="5" t="s">
        <v>61</v>
      </c>
      <c r="AW19" s="5" t="s">
        <v>61</v>
      </c>
      <c r="AX19" s="5" t="s">
        <v>61</v>
      </c>
      <c r="AY19" s="5" t="s">
        <v>58</v>
      </c>
      <c r="AZ19" s="5" t="s">
        <v>58</v>
      </c>
      <c r="BA19" s="5" t="s">
        <v>61</v>
      </c>
      <c r="BB19" s="5" t="s">
        <v>60</v>
      </c>
      <c r="BC19" s="5" t="s">
        <v>58</v>
      </c>
      <c r="BD19" s="5" t="s">
        <v>58</v>
      </c>
      <c r="BE19" s="5" t="s">
        <v>61</v>
      </c>
      <c r="BF19" s="5" t="s">
        <v>61</v>
      </c>
      <c r="BG19" s="5" t="s">
        <v>58</v>
      </c>
      <c r="BH19" s="5" t="s">
        <v>58</v>
      </c>
      <c r="BI19" s="6"/>
    </row>
    <row r="20" spans="1:61" ht="12.5" x14ac:dyDescent="0.25">
      <c r="A20">
        <v>19</v>
      </c>
      <c r="B20" s="1">
        <v>45814.408484247688</v>
      </c>
      <c r="C20" s="14" t="s">
        <v>143</v>
      </c>
      <c r="D20" s="2" t="s">
        <v>55</v>
      </c>
      <c r="E20" s="2">
        <v>1992</v>
      </c>
      <c r="F20" s="2" t="s">
        <v>56</v>
      </c>
      <c r="G20" s="2" t="s">
        <v>63</v>
      </c>
      <c r="H20" s="2" t="s">
        <v>58</v>
      </c>
      <c r="I20" s="2" t="s">
        <v>58</v>
      </c>
      <c r="J20" s="2" t="s">
        <v>58</v>
      </c>
      <c r="K20" s="2" t="s">
        <v>58</v>
      </c>
      <c r="L20" s="2" t="s">
        <v>58</v>
      </c>
      <c r="M20" s="2" t="s">
        <v>58</v>
      </c>
      <c r="N20" s="2" t="s">
        <v>58</v>
      </c>
      <c r="O20" s="2" t="s">
        <v>105</v>
      </c>
      <c r="P20" s="2" t="s">
        <v>61</v>
      </c>
      <c r="Q20" s="2" t="s">
        <v>61</v>
      </c>
      <c r="R20" s="2" t="s">
        <v>61</v>
      </c>
      <c r="S20" s="2" t="s">
        <v>58</v>
      </c>
      <c r="T20" s="2" t="s">
        <v>61</v>
      </c>
      <c r="U20" s="2" t="s">
        <v>61</v>
      </c>
      <c r="V20" s="2" t="s">
        <v>59</v>
      </c>
      <c r="W20" s="2" t="s">
        <v>60</v>
      </c>
      <c r="X20" s="2" t="s">
        <v>61</v>
      </c>
      <c r="Y20" s="2" t="s">
        <v>58</v>
      </c>
      <c r="Z20" s="2" t="s">
        <v>61</v>
      </c>
      <c r="AB20" s="2" t="s">
        <v>58</v>
      </c>
      <c r="AC20" s="2" t="s">
        <v>58</v>
      </c>
      <c r="AD20" s="2" t="s">
        <v>58</v>
      </c>
      <c r="AE20" s="2" t="s">
        <v>58</v>
      </c>
      <c r="AF20" s="2" t="s">
        <v>58</v>
      </c>
      <c r="AG20" s="2" t="s">
        <v>59</v>
      </c>
      <c r="AH20" s="2" t="s">
        <v>59</v>
      </c>
      <c r="AI20" s="2" t="s">
        <v>58</v>
      </c>
      <c r="AJ20" s="2" t="s">
        <v>58</v>
      </c>
      <c r="AK20" s="2" t="s">
        <v>59</v>
      </c>
      <c r="AL20" s="2" t="s">
        <v>59</v>
      </c>
      <c r="AM20" s="2" t="s">
        <v>58</v>
      </c>
      <c r="AN20" s="2" t="s">
        <v>61</v>
      </c>
      <c r="AO20" s="2" t="s">
        <v>58</v>
      </c>
      <c r="AP20" s="2" t="s">
        <v>58</v>
      </c>
      <c r="AQ20" s="2" t="s">
        <v>58</v>
      </c>
      <c r="AR20" s="2" t="s">
        <v>59</v>
      </c>
      <c r="AS20" s="2" t="s">
        <v>59</v>
      </c>
      <c r="AT20" s="2" t="s">
        <v>58</v>
      </c>
      <c r="AV20" s="2" t="s">
        <v>58</v>
      </c>
      <c r="AW20" s="2" t="s">
        <v>58</v>
      </c>
      <c r="AX20" s="2" t="s">
        <v>58</v>
      </c>
      <c r="AY20" s="2" t="s">
        <v>58</v>
      </c>
      <c r="AZ20" s="2" t="s">
        <v>58</v>
      </c>
      <c r="BA20" s="2" t="s">
        <v>58</v>
      </c>
      <c r="BB20" s="2" t="s">
        <v>60</v>
      </c>
      <c r="BC20" s="2" t="s">
        <v>58</v>
      </c>
      <c r="BD20" s="2" t="s">
        <v>58</v>
      </c>
      <c r="BE20" s="2" t="s">
        <v>58</v>
      </c>
      <c r="BF20" s="2" t="s">
        <v>58</v>
      </c>
      <c r="BG20" s="2" t="s">
        <v>61</v>
      </c>
      <c r="BH20" s="2" t="s">
        <v>58</v>
      </c>
    </row>
    <row r="21" spans="1:61" ht="12.5" x14ac:dyDescent="0.25">
      <c r="A21">
        <v>20</v>
      </c>
      <c r="B21" s="4">
        <v>45814.446030474537</v>
      </c>
      <c r="C21" s="15" t="s">
        <v>144</v>
      </c>
      <c r="D21" s="5" t="s">
        <v>55</v>
      </c>
      <c r="E21" s="5">
        <v>1994</v>
      </c>
      <c r="F21" s="5" t="s">
        <v>56</v>
      </c>
      <c r="G21" s="5" t="s">
        <v>92</v>
      </c>
      <c r="H21" s="5" t="s">
        <v>58</v>
      </c>
      <c r="I21" s="5" t="s">
        <v>58</v>
      </c>
      <c r="J21" s="5" t="s">
        <v>61</v>
      </c>
      <c r="K21" s="5" t="s">
        <v>58</v>
      </c>
      <c r="L21" s="5" t="s">
        <v>58</v>
      </c>
      <c r="M21" s="5" t="s">
        <v>58</v>
      </c>
      <c r="N21" s="5" t="s">
        <v>58</v>
      </c>
      <c r="P21" s="5" t="s">
        <v>58</v>
      </c>
      <c r="Q21" s="5" t="s">
        <v>58</v>
      </c>
      <c r="R21" s="5" t="s">
        <v>58</v>
      </c>
      <c r="S21" s="5" t="s">
        <v>61</v>
      </c>
      <c r="T21" s="5" t="s">
        <v>58</v>
      </c>
      <c r="U21" s="5" t="s">
        <v>58</v>
      </c>
      <c r="V21" s="5" t="s">
        <v>60</v>
      </c>
      <c r="W21" s="5" t="s">
        <v>60</v>
      </c>
      <c r="X21" s="5" t="s">
        <v>58</v>
      </c>
      <c r="Y21" s="5" t="s">
        <v>58</v>
      </c>
      <c r="Z21" s="5" t="s">
        <v>61</v>
      </c>
      <c r="AB21" s="5" t="s">
        <v>58</v>
      </c>
      <c r="AC21" s="5" t="s">
        <v>58</v>
      </c>
      <c r="AD21" s="5" t="s">
        <v>58</v>
      </c>
      <c r="AE21" s="5" t="s">
        <v>58</v>
      </c>
      <c r="AF21" s="5" t="s">
        <v>59</v>
      </c>
      <c r="AG21" s="5" t="s">
        <v>59</v>
      </c>
      <c r="AH21" s="5" t="s">
        <v>59</v>
      </c>
      <c r="AI21" s="5" t="s">
        <v>59</v>
      </c>
      <c r="AJ21" s="5" t="s">
        <v>58</v>
      </c>
      <c r="AK21" s="5" t="s">
        <v>58</v>
      </c>
      <c r="AL21" s="5" t="s">
        <v>58</v>
      </c>
      <c r="AM21" s="5" t="s">
        <v>58</v>
      </c>
      <c r="AN21" s="5" t="s">
        <v>58</v>
      </c>
      <c r="AO21" s="5" t="s">
        <v>60</v>
      </c>
      <c r="AP21" s="5" t="s">
        <v>59</v>
      </c>
      <c r="AQ21" s="5" t="s">
        <v>58</v>
      </c>
      <c r="AR21" s="5" t="s">
        <v>58</v>
      </c>
      <c r="AS21" s="5" t="s">
        <v>59</v>
      </c>
      <c r="AT21" s="5" t="s">
        <v>58</v>
      </c>
      <c r="AV21" s="5" t="s">
        <v>58</v>
      </c>
      <c r="AW21" s="5" t="s">
        <v>58</v>
      </c>
      <c r="AX21" s="5" t="s">
        <v>58</v>
      </c>
      <c r="AY21" s="5" t="s">
        <v>58</v>
      </c>
      <c r="AZ21" s="5" t="s">
        <v>58</v>
      </c>
      <c r="BA21" s="5" t="s">
        <v>58</v>
      </c>
      <c r="BB21" s="5" t="s">
        <v>59</v>
      </c>
      <c r="BC21" s="5" t="s">
        <v>58</v>
      </c>
      <c r="BD21" s="5" t="s">
        <v>58</v>
      </c>
      <c r="BE21" s="5" t="s">
        <v>58</v>
      </c>
      <c r="BF21" s="5" t="s">
        <v>58</v>
      </c>
      <c r="BG21" s="5" t="s">
        <v>58</v>
      </c>
      <c r="BH21" s="5" t="s">
        <v>58</v>
      </c>
    </row>
    <row r="22" spans="1:61" ht="12.5" x14ac:dyDescent="0.25">
      <c r="A22">
        <v>21</v>
      </c>
      <c r="B22" s="1">
        <v>45814.504925243054</v>
      </c>
      <c r="C22" s="14" t="s">
        <v>145</v>
      </c>
      <c r="D22" s="2" t="s">
        <v>55</v>
      </c>
      <c r="E22" s="2">
        <v>1990</v>
      </c>
      <c r="F22" s="2" t="s">
        <v>56</v>
      </c>
      <c r="G22" s="2" t="s">
        <v>57</v>
      </c>
      <c r="H22" s="2" t="s">
        <v>61</v>
      </c>
      <c r="I22" s="2" t="s">
        <v>61</v>
      </c>
      <c r="J22" s="2" t="s">
        <v>61</v>
      </c>
      <c r="K22" s="2" t="s">
        <v>58</v>
      </c>
      <c r="L22" s="2" t="s">
        <v>61</v>
      </c>
      <c r="M22" s="2" t="s">
        <v>61</v>
      </c>
      <c r="N22" s="2" t="s">
        <v>61</v>
      </c>
      <c r="P22" s="2" t="s">
        <v>58</v>
      </c>
      <c r="Q22" s="2" t="s">
        <v>58</v>
      </c>
      <c r="R22" s="2" t="s">
        <v>61</v>
      </c>
      <c r="S22" s="2" t="s">
        <v>61</v>
      </c>
      <c r="T22" s="2" t="s">
        <v>58</v>
      </c>
      <c r="U22" s="2" t="s">
        <v>58</v>
      </c>
      <c r="V22" s="2" t="s">
        <v>59</v>
      </c>
      <c r="W22" s="2" t="s">
        <v>61</v>
      </c>
      <c r="X22" s="2" t="s">
        <v>61</v>
      </c>
      <c r="Y22" s="2" t="s">
        <v>58</v>
      </c>
      <c r="Z22" s="2" t="s">
        <v>58</v>
      </c>
      <c r="AB22" s="2" t="s">
        <v>58</v>
      </c>
      <c r="AC22" s="2" t="s">
        <v>61</v>
      </c>
      <c r="AD22" s="2" t="s">
        <v>61</v>
      </c>
      <c r="AE22" s="2" t="s">
        <v>58</v>
      </c>
      <c r="AF22" s="2" t="s">
        <v>59</v>
      </c>
      <c r="AG22" s="2" t="s">
        <v>60</v>
      </c>
      <c r="AH22" s="2" t="s">
        <v>60</v>
      </c>
      <c r="AI22" s="2" t="s">
        <v>60</v>
      </c>
      <c r="AJ22" s="2" t="s">
        <v>60</v>
      </c>
      <c r="AK22" s="2" t="s">
        <v>59</v>
      </c>
      <c r="AL22" s="2" t="s">
        <v>59</v>
      </c>
      <c r="AM22" s="2" t="s">
        <v>58</v>
      </c>
      <c r="AN22" s="2" t="s">
        <v>59</v>
      </c>
      <c r="AO22" s="2" t="s">
        <v>58</v>
      </c>
      <c r="AP22" s="2" t="s">
        <v>77</v>
      </c>
      <c r="AQ22" s="2" t="s">
        <v>77</v>
      </c>
      <c r="AR22" s="2" t="s">
        <v>77</v>
      </c>
      <c r="AS22" s="2" t="s">
        <v>77</v>
      </c>
      <c r="AT22" s="2" t="s">
        <v>60</v>
      </c>
      <c r="AV22" s="2" t="s">
        <v>58</v>
      </c>
      <c r="AW22" s="2" t="s">
        <v>58</v>
      </c>
      <c r="AX22" s="2" t="s">
        <v>58</v>
      </c>
      <c r="AY22" s="2" t="s">
        <v>58</v>
      </c>
      <c r="AZ22" s="2" t="s">
        <v>60</v>
      </c>
      <c r="BA22" s="2" t="s">
        <v>59</v>
      </c>
      <c r="BB22" s="2" t="s">
        <v>60</v>
      </c>
      <c r="BC22" s="2" t="s">
        <v>58</v>
      </c>
      <c r="BD22" s="2" t="s">
        <v>58</v>
      </c>
      <c r="BE22" s="2" t="s">
        <v>58</v>
      </c>
      <c r="BF22" s="2" t="s">
        <v>58</v>
      </c>
      <c r="BG22" s="2" t="s">
        <v>58</v>
      </c>
      <c r="BH22" s="2" t="s">
        <v>58</v>
      </c>
    </row>
    <row r="23" spans="1:61" ht="12.5" x14ac:dyDescent="0.25">
      <c r="A23">
        <v>22</v>
      </c>
      <c r="B23" s="4">
        <v>45814.645279467593</v>
      </c>
      <c r="C23" s="15" t="s">
        <v>146</v>
      </c>
      <c r="D23" s="5" t="s">
        <v>55</v>
      </c>
      <c r="E23" s="5">
        <v>1976</v>
      </c>
      <c r="F23" s="5" t="s">
        <v>75</v>
      </c>
      <c r="G23" s="5" t="s">
        <v>57</v>
      </c>
      <c r="H23" s="5" t="s">
        <v>58</v>
      </c>
      <c r="I23" s="5" t="s">
        <v>58</v>
      </c>
      <c r="J23" s="5" t="s">
        <v>58</v>
      </c>
      <c r="K23" s="5" t="s">
        <v>58</v>
      </c>
      <c r="L23" s="5" t="s">
        <v>61</v>
      </c>
      <c r="M23" s="5" t="s">
        <v>61</v>
      </c>
      <c r="N23" s="5" t="s">
        <v>61</v>
      </c>
      <c r="O23" s="5" t="s">
        <v>106</v>
      </c>
      <c r="P23" s="5" t="s">
        <v>61</v>
      </c>
      <c r="Q23" s="5" t="s">
        <v>61</v>
      </c>
      <c r="R23" s="5" t="s">
        <v>61</v>
      </c>
      <c r="S23" s="5" t="s">
        <v>61</v>
      </c>
      <c r="T23" s="5" t="s">
        <v>61</v>
      </c>
      <c r="U23" s="5" t="s">
        <v>61</v>
      </c>
      <c r="V23" s="5" t="s">
        <v>60</v>
      </c>
      <c r="W23" s="5" t="s">
        <v>60</v>
      </c>
      <c r="X23" s="5" t="s">
        <v>58</v>
      </c>
      <c r="Y23" s="5" t="s">
        <v>61</v>
      </c>
      <c r="Z23" s="5" t="s">
        <v>61</v>
      </c>
      <c r="AA23" s="5" t="s">
        <v>107</v>
      </c>
      <c r="AB23" s="5" t="s">
        <v>59</v>
      </c>
      <c r="AC23" s="5" t="s">
        <v>60</v>
      </c>
      <c r="AD23" s="5" t="s">
        <v>58</v>
      </c>
      <c r="AE23" s="5" t="s">
        <v>58</v>
      </c>
      <c r="AF23" s="5" t="s">
        <v>58</v>
      </c>
      <c r="AG23" s="5" t="s">
        <v>58</v>
      </c>
      <c r="AH23" s="5" t="s">
        <v>58</v>
      </c>
      <c r="AI23" s="5" t="s">
        <v>61</v>
      </c>
      <c r="AJ23" s="5" t="s">
        <v>61</v>
      </c>
      <c r="AK23" s="5" t="s">
        <v>61</v>
      </c>
      <c r="AL23" s="5" t="s">
        <v>61</v>
      </c>
      <c r="AM23" s="5" t="s">
        <v>61</v>
      </c>
      <c r="AN23" s="5" t="s">
        <v>61</v>
      </c>
      <c r="AO23" s="5" t="s">
        <v>61</v>
      </c>
      <c r="AP23" s="5" t="s">
        <v>61</v>
      </c>
      <c r="AQ23" s="5" t="s">
        <v>61</v>
      </c>
      <c r="AR23" s="5" t="s">
        <v>61</v>
      </c>
      <c r="AS23" s="5" t="s">
        <v>61</v>
      </c>
      <c r="AT23" s="5" t="s">
        <v>61</v>
      </c>
      <c r="AV23" s="5" t="s">
        <v>61</v>
      </c>
      <c r="AW23" s="5" t="s">
        <v>58</v>
      </c>
      <c r="AX23" s="5" t="s">
        <v>58</v>
      </c>
      <c r="AY23" s="5" t="s">
        <v>60</v>
      </c>
      <c r="AZ23" s="5" t="s">
        <v>58</v>
      </c>
      <c r="BA23" s="5" t="s">
        <v>58</v>
      </c>
      <c r="BB23" s="5" t="s">
        <v>60</v>
      </c>
      <c r="BC23" s="5" t="s">
        <v>58</v>
      </c>
      <c r="BD23" s="5" t="s">
        <v>58</v>
      </c>
      <c r="BE23" s="5" t="s">
        <v>58</v>
      </c>
      <c r="BF23" s="5" t="s">
        <v>58</v>
      </c>
      <c r="BG23" s="5" t="s">
        <v>58</v>
      </c>
      <c r="BH23" s="5" t="s">
        <v>58</v>
      </c>
    </row>
    <row r="24" spans="1:61" ht="12.5" x14ac:dyDescent="0.25">
      <c r="A24">
        <v>23</v>
      </c>
      <c r="B24" s="1">
        <v>45814.773077812497</v>
      </c>
      <c r="C24" s="14" t="s">
        <v>147</v>
      </c>
      <c r="D24" s="2" t="s">
        <v>74</v>
      </c>
      <c r="E24" s="2">
        <v>1988</v>
      </c>
      <c r="F24" s="2" t="s">
        <v>56</v>
      </c>
      <c r="G24" s="2" t="s">
        <v>63</v>
      </c>
      <c r="H24" s="2" t="s">
        <v>61</v>
      </c>
      <c r="I24" s="2" t="s">
        <v>61</v>
      </c>
      <c r="J24" s="2" t="s">
        <v>61</v>
      </c>
      <c r="K24" s="2" t="s">
        <v>61</v>
      </c>
      <c r="L24" s="2" t="s">
        <v>61</v>
      </c>
      <c r="M24" s="2" t="s">
        <v>61</v>
      </c>
      <c r="N24" s="2" t="s">
        <v>61</v>
      </c>
      <c r="O24" s="2" t="s">
        <v>108</v>
      </c>
      <c r="P24" s="2" t="s">
        <v>61</v>
      </c>
      <c r="Q24" s="2" t="s">
        <v>61</v>
      </c>
      <c r="R24" s="2" t="s">
        <v>61</v>
      </c>
      <c r="S24" s="2" t="s">
        <v>61</v>
      </c>
      <c r="T24" s="2" t="s">
        <v>61</v>
      </c>
      <c r="U24" s="2" t="s">
        <v>61</v>
      </c>
      <c r="V24" s="2" t="s">
        <v>77</v>
      </c>
      <c r="W24" s="2" t="s">
        <v>77</v>
      </c>
      <c r="X24" s="2" t="s">
        <v>77</v>
      </c>
      <c r="Y24" s="2" t="s">
        <v>61</v>
      </c>
      <c r="Z24" s="2" t="s">
        <v>61</v>
      </c>
      <c r="AA24" s="2" t="s">
        <v>109</v>
      </c>
      <c r="AB24" s="2" t="s">
        <v>61</v>
      </c>
      <c r="AC24" s="2" t="s">
        <v>61</v>
      </c>
      <c r="AD24" s="2" t="s">
        <v>61</v>
      </c>
      <c r="AE24" s="2" t="s">
        <v>61</v>
      </c>
      <c r="AF24" s="2" t="s">
        <v>61</v>
      </c>
      <c r="AG24" s="2" t="s">
        <v>61</v>
      </c>
      <c r="AH24" s="2" t="s">
        <v>61</v>
      </c>
      <c r="AI24" s="2" t="s">
        <v>61</v>
      </c>
      <c r="AJ24" s="2" t="s">
        <v>61</v>
      </c>
      <c r="AK24" s="2" t="s">
        <v>61</v>
      </c>
      <c r="AL24" s="2" t="s">
        <v>61</v>
      </c>
      <c r="AM24" s="2" t="s">
        <v>61</v>
      </c>
      <c r="AN24" s="2" t="s">
        <v>61</v>
      </c>
      <c r="AO24" s="2" t="s">
        <v>61</v>
      </c>
      <c r="AP24" s="2" t="s">
        <v>61</v>
      </c>
      <c r="AQ24" s="2" t="s">
        <v>61</v>
      </c>
      <c r="AR24" s="2" t="s">
        <v>61</v>
      </c>
      <c r="AS24" s="2" t="s">
        <v>61</v>
      </c>
      <c r="AT24" s="2" t="s">
        <v>61</v>
      </c>
      <c r="AU24" s="2" t="s">
        <v>110</v>
      </c>
      <c r="AV24" s="2" t="s">
        <v>61</v>
      </c>
      <c r="AW24" s="2" t="s">
        <v>61</v>
      </c>
      <c r="AX24" s="2" t="s">
        <v>61</v>
      </c>
      <c r="AY24" s="2" t="s">
        <v>61</v>
      </c>
      <c r="AZ24" s="2" t="s">
        <v>61</v>
      </c>
      <c r="BA24" s="2" t="s">
        <v>61</v>
      </c>
      <c r="BB24" s="2" t="s">
        <v>77</v>
      </c>
      <c r="BC24" s="2" t="s">
        <v>61</v>
      </c>
      <c r="BD24" s="2" t="s">
        <v>61</v>
      </c>
      <c r="BE24" s="2" t="s">
        <v>61</v>
      </c>
      <c r="BF24" s="2" t="s">
        <v>61</v>
      </c>
      <c r="BG24" s="2" t="s">
        <v>61</v>
      </c>
      <c r="BH24" s="2" t="s">
        <v>61</v>
      </c>
      <c r="BI24" s="3" t="s">
        <v>111</v>
      </c>
    </row>
    <row r="25" spans="1:61" ht="12.5" x14ac:dyDescent="0.25">
      <c r="A25">
        <v>24</v>
      </c>
      <c r="B25" s="4">
        <v>45814.790746701387</v>
      </c>
      <c r="C25" s="15" t="s">
        <v>148</v>
      </c>
      <c r="D25" s="5" t="s">
        <v>74</v>
      </c>
      <c r="E25" s="5">
        <v>1985</v>
      </c>
      <c r="F25" s="5" t="s">
        <v>69</v>
      </c>
      <c r="G25" s="5" t="s">
        <v>63</v>
      </c>
      <c r="H25" s="5" t="s">
        <v>58</v>
      </c>
      <c r="I25" s="5" t="s">
        <v>61</v>
      </c>
      <c r="J25" s="5" t="s">
        <v>58</v>
      </c>
      <c r="K25" s="5" t="s">
        <v>58</v>
      </c>
      <c r="L25" s="5" t="s">
        <v>58</v>
      </c>
      <c r="M25" s="5" t="s">
        <v>58</v>
      </c>
      <c r="N25" s="5" t="s">
        <v>61</v>
      </c>
      <c r="O25" s="5" t="s">
        <v>112</v>
      </c>
      <c r="P25" s="5" t="s">
        <v>61</v>
      </c>
      <c r="Q25" s="5" t="s">
        <v>61</v>
      </c>
      <c r="R25" s="5" t="s">
        <v>61</v>
      </c>
      <c r="S25" s="5" t="s">
        <v>61</v>
      </c>
      <c r="T25" s="5" t="s">
        <v>61</v>
      </c>
      <c r="U25" s="5" t="s">
        <v>61</v>
      </c>
      <c r="V25" s="5" t="s">
        <v>60</v>
      </c>
      <c r="W25" s="5" t="s">
        <v>60</v>
      </c>
      <c r="X25" s="5" t="s">
        <v>61</v>
      </c>
      <c r="Y25" s="5" t="s">
        <v>58</v>
      </c>
      <c r="Z25" s="5" t="s">
        <v>61</v>
      </c>
      <c r="AA25" s="5" t="s">
        <v>113</v>
      </c>
      <c r="AB25" s="5" t="s">
        <v>58</v>
      </c>
      <c r="AC25" s="5" t="s">
        <v>58</v>
      </c>
      <c r="AD25" s="5" t="s">
        <v>61</v>
      </c>
      <c r="AE25" s="5" t="s">
        <v>61</v>
      </c>
      <c r="AF25" s="5" t="s">
        <v>61</v>
      </c>
      <c r="AG25" s="5" t="s">
        <v>58</v>
      </c>
      <c r="AH25" s="5" t="s">
        <v>61</v>
      </c>
      <c r="AI25" s="5" t="s">
        <v>61</v>
      </c>
      <c r="AJ25" s="5" t="s">
        <v>61</v>
      </c>
      <c r="AK25" s="5" t="s">
        <v>61</v>
      </c>
      <c r="AL25" s="5" t="s">
        <v>61</v>
      </c>
      <c r="AM25" s="5" t="s">
        <v>61</v>
      </c>
      <c r="AN25" s="5" t="s">
        <v>61</v>
      </c>
      <c r="AO25" s="5" t="s">
        <v>61</v>
      </c>
      <c r="AP25" s="5" t="s">
        <v>61</v>
      </c>
      <c r="AQ25" s="5" t="s">
        <v>61</v>
      </c>
      <c r="AR25" s="5" t="s">
        <v>61</v>
      </c>
      <c r="AS25" s="5" t="s">
        <v>61</v>
      </c>
      <c r="AT25" s="5" t="s">
        <v>61</v>
      </c>
      <c r="AV25" s="5" t="s">
        <v>58</v>
      </c>
      <c r="AW25" s="5" t="s">
        <v>58</v>
      </c>
      <c r="AX25" s="5" t="s">
        <v>61</v>
      </c>
      <c r="AY25" s="5" t="s">
        <v>58</v>
      </c>
      <c r="AZ25" s="5" t="s">
        <v>58</v>
      </c>
      <c r="BA25" s="5" t="s">
        <v>61</v>
      </c>
      <c r="BB25" s="5" t="s">
        <v>77</v>
      </c>
      <c r="BC25" s="5" t="s">
        <v>58</v>
      </c>
      <c r="BD25" s="5" t="s">
        <v>58</v>
      </c>
      <c r="BE25" s="5" t="s">
        <v>61</v>
      </c>
      <c r="BF25" s="5" t="s">
        <v>58</v>
      </c>
      <c r="BG25" s="5" t="s">
        <v>58</v>
      </c>
      <c r="BH25" s="5" t="s">
        <v>58</v>
      </c>
    </row>
    <row r="26" spans="1:61" ht="12.5" x14ac:dyDescent="0.25">
      <c r="A26">
        <v>25</v>
      </c>
      <c r="B26" s="1">
        <v>45814.87188820602</v>
      </c>
      <c r="C26" s="14" t="s">
        <v>149</v>
      </c>
      <c r="D26" s="2" t="s">
        <v>55</v>
      </c>
      <c r="E26" s="2">
        <v>1984</v>
      </c>
      <c r="F26" s="2" t="s">
        <v>62</v>
      </c>
      <c r="G26" s="2" t="s">
        <v>57</v>
      </c>
      <c r="H26" s="2" t="s">
        <v>61</v>
      </c>
      <c r="I26" s="2" t="s">
        <v>58</v>
      </c>
      <c r="J26" s="2" t="s">
        <v>58</v>
      </c>
      <c r="K26" s="2" t="s">
        <v>58</v>
      </c>
      <c r="L26" s="2" t="s">
        <v>58</v>
      </c>
      <c r="M26" s="2" t="s">
        <v>58</v>
      </c>
      <c r="N26" s="2" t="s">
        <v>58</v>
      </c>
      <c r="O26" s="2" t="s">
        <v>114</v>
      </c>
      <c r="P26" s="2" t="s">
        <v>61</v>
      </c>
      <c r="Q26" s="2" t="s">
        <v>61</v>
      </c>
      <c r="R26" s="2" t="s">
        <v>58</v>
      </c>
      <c r="S26" s="2" t="s">
        <v>58</v>
      </c>
      <c r="T26" s="2" t="s">
        <v>58</v>
      </c>
      <c r="U26" s="2" t="s">
        <v>58</v>
      </c>
      <c r="V26" s="2" t="s">
        <v>60</v>
      </c>
      <c r="W26" s="2" t="s">
        <v>60</v>
      </c>
      <c r="X26" s="2" t="s">
        <v>58</v>
      </c>
      <c r="Y26" s="2" t="s">
        <v>58</v>
      </c>
      <c r="Z26" s="2" t="s">
        <v>61</v>
      </c>
      <c r="AA26" s="2" t="s">
        <v>115</v>
      </c>
      <c r="AB26" s="2" t="s">
        <v>58</v>
      </c>
      <c r="AC26" s="2" t="s">
        <v>58</v>
      </c>
      <c r="AD26" s="2" t="s">
        <v>58</v>
      </c>
      <c r="AE26" s="2" t="s">
        <v>58</v>
      </c>
      <c r="AF26" s="2" t="s">
        <v>58</v>
      </c>
      <c r="AG26" s="2" t="s">
        <v>58</v>
      </c>
      <c r="AH26" s="2" t="s">
        <v>58</v>
      </c>
      <c r="AI26" s="2" t="s">
        <v>58</v>
      </c>
      <c r="AJ26" s="2" t="s">
        <v>58</v>
      </c>
      <c r="AK26" s="2" t="s">
        <v>58</v>
      </c>
      <c r="AL26" s="2" t="s">
        <v>58</v>
      </c>
      <c r="AM26" s="2" t="s">
        <v>58</v>
      </c>
      <c r="AN26" s="2" t="s">
        <v>58</v>
      </c>
      <c r="AO26" s="2" t="s">
        <v>58</v>
      </c>
      <c r="AP26" s="2" t="s">
        <v>58</v>
      </c>
      <c r="AQ26" s="2" t="s">
        <v>58</v>
      </c>
      <c r="AR26" s="2" t="s">
        <v>58</v>
      </c>
      <c r="AS26" s="2" t="s">
        <v>58</v>
      </c>
      <c r="AT26" s="2" t="s">
        <v>58</v>
      </c>
      <c r="AU26" s="2" t="s">
        <v>85</v>
      </c>
      <c r="AV26" s="2" t="s">
        <v>58</v>
      </c>
      <c r="AW26" s="2" t="s">
        <v>58</v>
      </c>
      <c r="AX26" s="2" t="s">
        <v>58</v>
      </c>
      <c r="AY26" s="2" t="s">
        <v>58</v>
      </c>
      <c r="AZ26" s="2" t="s">
        <v>58</v>
      </c>
      <c r="BA26" s="2" t="s">
        <v>58</v>
      </c>
      <c r="BB26" s="2" t="s">
        <v>60</v>
      </c>
      <c r="BC26" s="2" t="s">
        <v>58</v>
      </c>
      <c r="BD26" s="2" t="s">
        <v>58</v>
      </c>
      <c r="BE26" s="2" t="s">
        <v>58</v>
      </c>
      <c r="BF26" s="2" t="s">
        <v>58</v>
      </c>
      <c r="BG26" s="2" t="s">
        <v>58</v>
      </c>
      <c r="BH26" s="2" t="s">
        <v>58</v>
      </c>
      <c r="BI26" s="3" t="s">
        <v>85</v>
      </c>
    </row>
    <row r="27" spans="1:61" ht="12.5" x14ac:dyDescent="0.25">
      <c r="A27">
        <v>26</v>
      </c>
      <c r="B27" s="4">
        <v>45815.311620613429</v>
      </c>
      <c r="C27" s="15" t="s">
        <v>150</v>
      </c>
      <c r="D27" s="5" t="s">
        <v>74</v>
      </c>
      <c r="E27" s="5">
        <v>2000</v>
      </c>
      <c r="F27" s="5" t="s">
        <v>69</v>
      </c>
      <c r="G27" s="5" t="s">
        <v>63</v>
      </c>
      <c r="H27" s="5" t="s">
        <v>58</v>
      </c>
      <c r="I27" s="5" t="s">
        <v>58</v>
      </c>
      <c r="J27" s="5" t="s">
        <v>58</v>
      </c>
      <c r="K27" s="5" t="s">
        <v>61</v>
      </c>
      <c r="L27" s="5" t="s">
        <v>58</v>
      </c>
      <c r="M27" s="5" t="s">
        <v>59</v>
      </c>
      <c r="N27" s="5" t="s">
        <v>61</v>
      </c>
      <c r="P27" s="5" t="s">
        <v>61</v>
      </c>
      <c r="Q27" s="5" t="s">
        <v>58</v>
      </c>
      <c r="R27" s="5" t="s">
        <v>58</v>
      </c>
      <c r="S27" s="5" t="s">
        <v>61</v>
      </c>
      <c r="T27" s="5" t="s">
        <v>61</v>
      </c>
      <c r="U27" s="5" t="s">
        <v>58</v>
      </c>
      <c r="V27" s="5" t="s">
        <v>77</v>
      </c>
      <c r="W27" s="5" t="s">
        <v>77</v>
      </c>
      <c r="X27" s="5" t="s">
        <v>61</v>
      </c>
      <c r="Y27" s="5" t="s">
        <v>58</v>
      </c>
      <c r="Z27" s="5" t="s">
        <v>61</v>
      </c>
      <c r="AB27" s="5" t="s">
        <v>58</v>
      </c>
      <c r="AC27" s="5" t="s">
        <v>61</v>
      </c>
      <c r="AD27" s="5" t="s">
        <v>61</v>
      </c>
      <c r="AE27" s="5" t="s">
        <v>61</v>
      </c>
      <c r="AF27" s="5" t="s">
        <v>61</v>
      </c>
      <c r="AG27" s="5" t="s">
        <v>58</v>
      </c>
      <c r="AH27" s="5" t="s">
        <v>58</v>
      </c>
      <c r="AI27" s="5" t="s">
        <v>61</v>
      </c>
      <c r="AJ27" s="5" t="s">
        <v>61</v>
      </c>
      <c r="AK27" s="5" t="s">
        <v>61</v>
      </c>
      <c r="AL27" s="5" t="s">
        <v>61</v>
      </c>
      <c r="AM27" s="5" t="s">
        <v>58</v>
      </c>
      <c r="AN27" s="5" t="s">
        <v>61</v>
      </c>
      <c r="AO27" s="5" t="s">
        <v>59</v>
      </c>
      <c r="AP27" s="5" t="s">
        <v>59</v>
      </c>
      <c r="AQ27" s="5" t="s">
        <v>59</v>
      </c>
      <c r="AR27" s="5" t="s">
        <v>61</v>
      </c>
      <c r="AS27" s="5" t="s">
        <v>59</v>
      </c>
      <c r="AT27" s="5" t="s">
        <v>61</v>
      </c>
      <c r="AV27" s="5" t="s">
        <v>58</v>
      </c>
      <c r="AW27" s="5" t="s">
        <v>59</v>
      </c>
      <c r="AX27" s="5" t="s">
        <v>58</v>
      </c>
      <c r="AY27" s="5" t="s">
        <v>58</v>
      </c>
      <c r="AZ27" s="5" t="s">
        <v>58</v>
      </c>
      <c r="BA27" s="5" t="s">
        <v>61</v>
      </c>
      <c r="BB27" s="5" t="s">
        <v>60</v>
      </c>
      <c r="BC27" s="5" t="s">
        <v>60</v>
      </c>
      <c r="BD27" s="5" t="s">
        <v>59</v>
      </c>
      <c r="BE27" s="5" t="s">
        <v>61</v>
      </c>
      <c r="BF27" s="5" t="s">
        <v>61</v>
      </c>
      <c r="BG27" s="5" t="s">
        <v>61</v>
      </c>
      <c r="BH27" s="5" t="s">
        <v>61</v>
      </c>
    </row>
    <row r="28" spans="1:61" ht="12.5" x14ac:dyDescent="0.25">
      <c r="A28">
        <v>27</v>
      </c>
      <c r="B28" s="1">
        <v>45815.322439641204</v>
      </c>
      <c r="C28" s="14" t="s">
        <v>151</v>
      </c>
      <c r="D28" s="2" t="s">
        <v>74</v>
      </c>
      <c r="E28" s="2">
        <v>1973</v>
      </c>
      <c r="F28" s="2" t="s">
        <v>75</v>
      </c>
      <c r="G28" s="2" t="s">
        <v>63</v>
      </c>
      <c r="H28" s="2" t="s">
        <v>61</v>
      </c>
      <c r="I28" s="2" t="s">
        <v>61</v>
      </c>
      <c r="J28" s="2" t="s">
        <v>61</v>
      </c>
      <c r="K28" s="2" t="s">
        <v>58</v>
      </c>
      <c r="L28" s="2" t="s">
        <v>58</v>
      </c>
      <c r="M28" s="2" t="s">
        <v>58</v>
      </c>
      <c r="N28" s="2" t="s">
        <v>58</v>
      </c>
      <c r="O28" s="2" t="s">
        <v>116</v>
      </c>
      <c r="P28" s="2" t="s">
        <v>58</v>
      </c>
      <c r="Q28" s="2" t="s">
        <v>58</v>
      </c>
      <c r="R28" s="2" t="s">
        <v>61</v>
      </c>
      <c r="S28" s="2" t="s">
        <v>61</v>
      </c>
      <c r="T28" s="2" t="s">
        <v>61</v>
      </c>
      <c r="U28" s="2" t="s">
        <v>58</v>
      </c>
      <c r="V28" s="2" t="s">
        <v>77</v>
      </c>
      <c r="W28" s="2" t="s">
        <v>77</v>
      </c>
      <c r="X28" s="2" t="s">
        <v>61</v>
      </c>
      <c r="Y28" s="2" t="s">
        <v>61</v>
      </c>
      <c r="Z28" s="2" t="s">
        <v>61</v>
      </c>
      <c r="AB28" s="2" t="s">
        <v>61</v>
      </c>
      <c r="AC28" s="2" t="s">
        <v>61</v>
      </c>
      <c r="AD28" s="2" t="s">
        <v>58</v>
      </c>
      <c r="AE28" s="2" t="s">
        <v>58</v>
      </c>
      <c r="AF28" s="2" t="s">
        <v>58</v>
      </c>
      <c r="AG28" s="2" t="s">
        <v>58</v>
      </c>
      <c r="AH28" s="2" t="s">
        <v>58</v>
      </c>
      <c r="AI28" s="2" t="s">
        <v>61</v>
      </c>
      <c r="AJ28" s="2" t="s">
        <v>61</v>
      </c>
      <c r="AK28" s="2" t="s">
        <v>58</v>
      </c>
      <c r="AL28" s="2" t="s">
        <v>58</v>
      </c>
      <c r="AM28" s="2" t="s">
        <v>61</v>
      </c>
      <c r="AN28" s="2" t="s">
        <v>58</v>
      </c>
      <c r="AO28" s="2" t="s">
        <v>58</v>
      </c>
      <c r="AP28" s="2" t="s">
        <v>58</v>
      </c>
      <c r="AQ28" s="2" t="s">
        <v>58</v>
      </c>
      <c r="AR28" s="2" t="s">
        <v>58</v>
      </c>
      <c r="AS28" s="2" t="s">
        <v>58</v>
      </c>
      <c r="AT28" s="2" t="s">
        <v>58</v>
      </c>
      <c r="AV28" s="2" t="s">
        <v>58</v>
      </c>
      <c r="AW28" s="2" t="s">
        <v>58</v>
      </c>
      <c r="AX28" s="2" t="s">
        <v>61</v>
      </c>
      <c r="AY28" s="2" t="s">
        <v>61</v>
      </c>
      <c r="AZ28" s="2" t="s">
        <v>58</v>
      </c>
      <c r="BA28" s="2" t="s">
        <v>61</v>
      </c>
      <c r="BB28" s="2" t="s">
        <v>60</v>
      </c>
      <c r="BC28" s="2" t="s">
        <v>58</v>
      </c>
      <c r="BD28" s="2" t="s">
        <v>58</v>
      </c>
      <c r="BE28" s="2" t="s">
        <v>61</v>
      </c>
      <c r="BF28" s="2" t="s">
        <v>61</v>
      </c>
      <c r="BG28" s="2" t="s">
        <v>61</v>
      </c>
      <c r="BH28" s="2" t="s">
        <v>61</v>
      </c>
    </row>
    <row r="29" spans="1:61" ht="12.5" x14ac:dyDescent="0.25">
      <c r="A29">
        <v>28</v>
      </c>
      <c r="B29" s="4">
        <v>45816.320681087964</v>
      </c>
      <c r="C29" s="15" t="s">
        <v>152</v>
      </c>
      <c r="D29" s="5" t="s">
        <v>74</v>
      </c>
      <c r="E29" s="5">
        <v>1991</v>
      </c>
      <c r="F29" s="5" t="s">
        <v>56</v>
      </c>
      <c r="G29" s="5" t="s">
        <v>63</v>
      </c>
      <c r="H29" s="5" t="s">
        <v>58</v>
      </c>
      <c r="I29" s="5" t="s">
        <v>61</v>
      </c>
      <c r="J29" s="5" t="s">
        <v>58</v>
      </c>
      <c r="K29" s="5" t="s">
        <v>58</v>
      </c>
      <c r="L29" s="5" t="s">
        <v>61</v>
      </c>
      <c r="M29" s="5" t="s">
        <v>58</v>
      </c>
      <c r="N29" s="5" t="s">
        <v>58</v>
      </c>
      <c r="O29" s="5" t="s">
        <v>117</v>
      </c>
      <c r="P29" s="5" t="s">
        <v>58</v>
      </c>
      <c r="Q29" s="5" t="s">
        <v>58</v>
      </c>
      <c r="R29" s="5" t="s">
        <v>58</v>
      </c>
      <c r="S29" s="5" t="s">
        <v>58</v>
      </c>
      <c r="T29" s="5" t="s">
        <v>58</v>
      </c>
      <c r="U29" s="5" t="s">
        <v>58</v>
      </c>
      <c r="V29" s="5" t="s">
        <v>58</v>
      </c>
      <c r="W29" s="5" t="s">
        <v>59</v>
      </c>
      <c r="X29" s="5" t="s">
        <v>58</v>
      </c>
      <c r="Y29" s="5" t="s">
        <v>60</v>
      </c>
      <c r="Z29" s="5" t="s">
        <v>58</v>
      </c>
      <c r="AA29" s="5" t="s">
        <v>118</v>
      </c>
      <c r="AB29" s="5" t="s">
        <v>58</v>
      </c>
      <c r="AC29" s="5" t="s">
        <v>58</v>
      </c>
      <c r="AD29" s="5" t="s">
        <v>58</v>
      </c>
      <c r="AE29" s="5" t="s">
        <v>59</v>
      </c>
      <c r="AF29" s="5" t="s">
        <v>58</v>
      </c>
      <c r="AG29" s="5" t="s">
        <v>58</v>
      </c>
      <c r="AH29" s="5" t="s">
        <v>58</v>
      </c>
      <c r="AI29" s="5" t="s">
        <v>59</v>
      </c>
      <c r="AJ29" s="5" t="s">
        <v>59</v>
      </c>
      <c r="AK29" s="5" t="s">
        <v>58</v>
      </c>
      <c r="AL29" s="5" t="s">
        <v>58</v>
      </c>
      <c r="AM29" s="5" t="s">
        <v>58</v>
      </c>
      <c r="AN29" s="5" t="s">
        <v>58</v>
      </c>
      <c r="AO29" s="5" t="s">
        <v>58</v>
      </c>
      <c r="AP29" s="5" t="s">
        <v>58</v>
      </c>
      <c r="AQ29" s="5" t="s">
        <v>59</v>
      </c>
      <c r="AR29" s="5" t="s">
        <v>58</v>
      </c>
      <c r="AS29" s="5" t="s">
        <v>59</v>
      </c>
      <c r="AT29" s="5" t="s">
        <v>59</v>
      </c>
      <c r="AV29" s="5" t="s">
        <v>58</v>
      </c>
      <c r="AW29" s="5" t="s">
        <v>59</v>
      </c>
      <c r="AX29" s="5" t="s">
        <v>59</v>
      </c>
      <c r="AY29" s="5" t="s">
        <v>59</v>
      </c>
      <c r="AZ29" s="5" t="s">
        <v>58</v>
      </c>
      <c r="BA29" s="5" t="s">
        <v>60</v>
      </c>
      <c r="BB29" s="5" t="s">
        <v>60</v>
      </c>
      <c r="BC29" s="5" t="s">
        <v>59</v>
      </c>
      <c r="BD29" s="5" t="s">
        <v>59</v>
      </c>
      <c r="BE29" s="5" t="s">
        <v>58</v>
      </c>
      <c r="BF29" s="5" t="s">
        <v>59</v>
      </c>
      <c r="BG29" s="5" t="s">
        <v>58</v>
      </c>
      <c r="BH29" s="5" t="s">
        <v>58</v>
      </c>
    </row>
    <row r="30" spans="1:61" ht="12.5" x14ac:dyDescent="0.25">
      <c r="A30">
        <v>29</v>
      </c>
      <c r="B30" s="1">
        <v>45816.35329082176</v>
      </c>
      <c r="C30" s="14" t="s">
        <v>153</v>
      </c>
      <c r="D30" s="2" t="s">
        <v>74</v>
      </c>
      <c r="E30" s="2">
        <v>2001</v>
      </c>
      <c r="F30" s="2" t="s">
        <v>69</v>
      </c>
      <c r="G30" s="2" t="s">
        <v>57</v>
      </c>
      <c r="H30" s="2" t="s">
        <v>58</v>
      </c>
      <c r="I30" s="2" t="s">
        <v>61</v>
      </c>
      <c r="J30" s="2" t="s">
        <v>58</v>
      </c>
      <c r="K30" s="2" t="s">
        <v>58</v>
      </c>
      <c r="L30" s="2" t="s">
        <v>59</v>
      </c>
      <c r="M30" s="2" t="s">
        <v>58</v>
      </c>
      <c r="N30" s="2" t="s">
        <v>59</v>
      </c>
      <c r="P30" s="2" t="s">
        <v>58</v>
      </c>
      <c r="Q30" s="2" t="s">
        <v>58</v>
      </c>
      <c r="R30" s="2" t="s">
        <v>58</v>
      </c>
      <c r="S30" s="2" t="s">
        <v>58</v>
      </c>
      <c r="T30" s="2" t="s">
        <v>61</v>
      </c>
      <c r="U30" s="2" t="s">
        <v>58</v>
      </c>
      <c r="V30" s="2" t="s">
        <v>59</v>
      </c>
      <c r="W30" s="2" t="s">
        <v>60</v>
      </c>
      <c r="X30" s="2" t="s">
        <v>60</v>
      </c>
      <c r="Y30" s="2" t="s">
        <v>60</v>
      </c>
      <c r="Z30" s="2" t="s">
        <v>61</v>
      </c>
      <c r="AB30" s="2" t="s">
        <v>58</v>
      </c>
      <c r="AC30" s="2" t="s">
        <v>59</v>
      </c>
      <c r="AD30" s="2" t="s">
        <v>58</v>
      </c>
      <c r="AE30" s="2" t="s">
        <v>58</v>
      </c>
      <c r="AF30" s="2" t="s">
        <v>61</v>
      </c>
      <c r="AG30" s="2" t="s">
        <v>59</v>
      </c>
      <c r="AH30" s="2" t="s">
        <v>58</v>
      </c>
      <c r="AI30" s="2" t="s">
        <v>58</v>
      </c>
      <c r="AJ30" s="2" t="s">
        <v>61</v>
      </c>
      <c r="AK30" s="2" t="s">
        <v>58</v>
      </c>
      <c r="AL30" s="2" t="s">
        <v>59</v>
      </c>
      <c r="AM30" s="2" t="s">
        <v>61</v>
      </c>
      <c r="AN30" s="2" t="s">
        <v>58</v>
      </c>
      <c r="AO30" s="2" t="s">
        <v>59</v>
      </c>
      <c r="AP30" s="2" t="s">
        <v>58</v>
      </c>
      <c r="AQ30" s="2" t="s">
        <v>58</v>
      </c>
      <c r="AR30" s="2" t="s">
        <v>59</v>
      </c>
      <c r="AS30" s="2" t="s">
        <v>58</v>
      </c>
      <c r="AT30" s="2" t="s">
        <v>58</v>
      </c>
      <c r="AV30" s="2" t="s">
        <v>61</v>
      </c>
      <c r="AW30" s="2" t="s">
        <v>58</v>
      </c>
      <c r="AX30" s="2" t="s">
        <v>61</v>
      </c>
      <c r="AY30" s="2" t="s">
        <v>61</v>
      </c>
      <c r="AZ30" s="2" t="s">
        <v>58</v>
      </c>
      <c r="BA30" s="2" t="s">
        <v>58</v>
      </c>
      <c r="BB30" s="2" t="s">
        <v>77</v>
      </c>
      <c r="BC30" s="2" t="s">
        <v>59</v>
      </c>
      <c r="BD30" s="2" t="s">
        <v>61</v>
      </c>
      <c r="BE30" s="2" t="s">
        <v>58</v>
      </c>
      <c r="BF30" s="2" t="s">
        <v>59</v>
      </c>
      <c r="BG30" s="2" t="s">
        <v>61</v>
      </c>
      <c r="BH30" s="2" t="s">
        <v>58</v>
      </c>
    </row>
    <row r="31" spans="1:61" ht="12.5" x14ac:dyDescent="0.25">
      <c r="A31">
        <v>30</v>
      </c>
      <c r="B31" s="4">
        <v>45817.437707129633</v>
      </c>
      <c r="C31" s="15" t="s">
        <v>154</v>
      </c>
      <c r="D31" s="5" t="s">
        <v>55</v>
      </c>
      <c r="E31" s="5">
        <v>1983</v>
      </c>
      <c r="F31" s="5" t="s">
        <v>62</v>
      </c>
      <c r="G31" s="5" t="s">
        <v>63</v>
      </c>
      <c r="H31" s="5" t="s">
        <v>58</v>
      </c>
      <c r="I31" s="5" t="s">
        <v>61</v>
      </c>
      <c r="J31" s="5" t="s">
        <v>61</v>
      </c>
      <c r="K31" s="5" t="s">
        <v>61</v>
      </c>
      <c r="L31" s="5" t="s">
        <v>58</v>
      </c>
      <c r="M31" s="5" t="s">
        <v>58</v>
      </c>
      <c r="N31" s="5" t="s">
        <v>58</v>
      </c>
      <c r="P31" s="5" t="s">
        <v>61</v>
      </c>
      <c r="Q31" s="5" t="s">
        <v>61</v>
      </c>
      <c r="R31" s="5" t="s">
        <v>61</v>
      </c>
      <c r="S31" s="5" t="s">
        <v>61</v>
      </c>
      <c r="T31" s="5" t="s">
        <v>61</v>
      </c>
      <c r="U31" s="5" t="s">
        <v>58</v>
      </c>
      <c r="V31" s="5" t="s">
        <v>77</v>
      </c>
      <c r="W31" s="5" t="s">
        <v>77</v>
      </c>
      <c r="X31" s="5" t="s">
        <v>61</v>
      </c>
      <c r="Y31" s="5" t="s">
        <v>61</v>
      </c>
      <c r="Z31" s="5" t="s">
        <v>61</v>
      </c>
      <c r="AB31" s="5" t="s">
        <v>58</v>
      </c>
      <c r="AC31" s="5" t="s">
        <v>58</v>
      </c>
      <c r="AD31" s="5" t="s">
        <v>61</v>
      </c>
      <c r="AE31" s="5" t="s">
        <v>61</v>
      </c>
      <c r="AF31" s="5" t="s">
        <v>58</v>
      </c>
      <c r="AG31" s="5" t="s">
        <v>59</v>
      </c>
      <c r="AH31" s="5" t="s">
        <v>58</v>
      </c>
      <c r="AI31" s="5" t="s">
        <v>58</v>
      </c>
      <c r="AJ31" s="5" t="s">
        <v>59</v>
      </c>
      <c r="AK31" s="5" t="s">
        <v>59</v>
      </c>
      <c r="AL31" s="5" t="s">
        <v>58</v>
      </c>
      <c r="AM31" s="5" t="s">
        <v>58</v>
      </c>
      <c r="AN31" s="5" t="s">
        <v>61</v>
      </c>
      <c r="AO31" s="5" t="s">
        <v>58</v>
      </c>
      <c r="AP31" s="5" t="s">
        <v>58</v>
      </c>
      <c r="AQ31" s="5" t="s">
        <v>59</v>
      </c>
      <c r="AR31" s="5" t="s">
        <v>59</v>
      </c>
      <c r="AS31" s="5" t="s">
        <v>58</v>
      </c>
      <c r="AT31" s="5" t="s">
        <v>58</v>
      </c>
      <c r="AV31" s="5" t="s">
        <v>61</v>
      </c>
      <c r="AW31" s="5" t="s">
        <v>61</v>
      </c>
      <c r="AX31" s="5" t="s">
        <v>61</v>
      </c>
      <c r="AY31" s="5" t="s">
        <v>61</v>
      </c>
      <c r="AZ31" s="5" t="s">
        <v>61</v>
      </c>
      <c r="BA31" s="5" t="s">
        <v>61</v>
      </c>
      <c r="BB31" s="5" t="s">
        <v>77</v>
      </c>
      <c r="BC31" s="5" t="s">
        <v>58</v>
      </c>
      <c r="BD31" s="5" t="s">
        <v>58</v>
      </c>
      <c r="BE31" s="5" t="s">
        <v>61</v>
      </c>
      <c r="BF31" s="5" t="s">
        <v>58</v>
      </c>
      <c r="BG31" s="5" t="s">
        <v>61</v>
      </c>
      <c r="BH31" s="5" t="s">
        <v>61</v>
      </c>
    </row>
    <row r="32" spans="1:61" ht="12.5" x14ac:dyDescent="0.25">
      <c r="A32">
        <v>31</v>
      </c>
      <c r="B32" s="1">
        <v>45817.467108946759</v>
      </c>
      <c r="C32" s="14" t="s">
        <v>155</v>
      </c>
      <c r="D32" s="2" t="s">
        <v>55</v>
      </c>
      <c r="E32" s="2">
        <v>1995</v>
      </c>
      <c r="F32" s="2" t="s">
        <v>69</v>
      </c>
      <c r="G32" s="2" t="s">
        <v>63</v>
      </c>
      <c r="H32" s="2" t="s">
        <v>58</v>
      </c>
      <c r="I32" s="2" t="s">
        <v>58</v>
      </c>
      <c r="J32" s="2" t="s">
        <v>58</v>
      </c>
      <c r="K32" s="2" t="s">
        <v>59</v>
      </c>
      <c r="L32" s="2" t="s">
        <v>58</v>
      </c>
      <c r="M32" s="2" t="s">
        <v>58</v>
      </c>
      <c r="N32" s="2" t="s">
        <v>58</v>
      </c>
      <c r="P32" s="2" t="s">
        <v>58</v>
      </c>
      <c r="Q32" s="2" t="s">
        <v>58</v>
      </c>
      <c r="R32" s="2" t="s">
        <v>58</v>
      </c>
      <c r="S32" s="2" t="s">
        <v>58</v>
      </c>
      <c r="T32" s="2" t="s">
        <v>58</v>
      </c>
      <c r="U32" s="2" t="s">
        <v>58</v>
      </c>
      <c r="V32" s="2" t="s">
        <v>60</v>
      </c>
      <c r="W32" s="2" t="s">
        <v>77</v>
      </c>
      <c r="X32" s="2" t="s">
        <v>58</v>
      </c>
      <c r="Y32" s="2" t="s">
        <v>58</v>
      </c>
      <c r="Z32" s="2" t="s">
        <v>58</v>
      </c>
      <c r="AB32" s="2" t="s">
        <v>58</v>
      </c>
      <c r="AC32" s="2" t="s">
        <v>59</v>
      </c>
      <c r="AD32" s="2" t="s">
        <v>58</v>
      </c>
      <c r="AE32" s="2" t="s">
        <v>58</v>
      </c>
      <c r="AF32" s="2" t="s">
        <v>58</v>
      </c>
      <c r="AG32" s="2" t="s">
        <v>58</v>
      </c>
      <c r="AH32" s="2" t="s">
        <v>59</v>
      </c>
      <c r="AI32" s="2" t="s">
        <v>58</v>
      </c>
      <c r="AJ32" s="2" t="s">
        <v>58</v>
      </c>
      <c r="AK32" s="2" t="s">
        <v>59</v>
      </c>
      <c r="AL32" s="2" t="s">
        <v>58</v>
      </c>
      <c r="AM32" s="2" t="s">
        <v>58</v>
      </c>
      <c r="AN32" s="2" t="s">
        <v>58</v>
      </c>
      <c r="AO32" s="2" t="s">
        <v>58</v>
      </c>
      <c r="AP32" s="2" t="s">
        <v>59</v>
      </c>
      <c r="AQ32" s="2" t="s">
        <v>59</v>
      </c>
      <c r="AR32" s="2" t="s">
        <v>59</v>
      </c>
      <c r="AS32" s="2" t="s">
        <v>59</v>
      </c>
      <c r="AT32" s="2" t="s">
        <v>59</v>
      </c>
      <c r="AV32" s="2" t="s">
        <v>58</v>
      </c>
      <c r="AW32" s="2" t="s">
        <v>59</v>
      </c>
      <c r="AX32" s="2" t="s">
        <v>58</v>
      </c>
      <c r="AY32" s="2" t="s">
        <v>58</v>
      </c>
      <c r="AZ32" s="2" t="s">
        <v>58</v>
      </c>
      <c r="BA32" s="2" t="s">
        <v>59</v>
      </c>
      <c r="BB32" s="2" t="s">
        <v>58</v>
      </c>
      <c r="BC32" s="2" t="s">
        <v>58</v>
      </c>
      <c r="BD32" s="2" t="s">
        <v>58</v>
      </c>
      <c r="BE32" s="2" t="s">
        <v>58</v>
      </c>
      <c r="BF32" s="2" t="s">
        <v>59</v>
      </c>
      <c r="BG32" s="2" t="s">
        <v>58</v>
      </c>
      <c r="BH32" s="2" t="s">
        <v>58</v>
      </c>
    </row>
    <row r="33" spans="1:60" ht="12.5" x14ac:dyDescent="0.25">
      <c r="A33">
        <v>32</v>
      </c>
      <c r="B33" s="7">
        <v>45817.677888090278</v>
      </c>
      <c r="C33" s="16" t="s">
        <v>156</v>
      </c>
      <c r="D33" s="8" t="s">
        <v>55</v>
      </c>
      <c r="E33" s="8">
        <v>1988</v>
      </c>
      <c r="F33" s="8" t="s">
        <v>56</v>
      </c>
      <c r="G33" s="8" t="s">
        <v>92</v>
      </c>
      <c r="H33" s="8" t="s">
        <v>61</v>
      </c>
      <c r="I33" s="8" t="s">
        <v>61</v>
      </c>
      <c r="J33" s="8" t="s">
        <v>58</v>
      </c>
      <c r="K33" s="8" t="s">
        <v>61</v>
      </c>
      <c r="L33" s="8" t="s">
        <v>60</v>
      </c>
      <c r="M33" s="8" t="s">
        <v>61</v>
      </c>
      <c r="N33" s="8" t="s">
        <v>61</v>
      </c>
      <c r="P33" s="8" t="s">
        <v>58</v>
      </c>
      <c r="Q33" s="8" t="s">
        <v>58</v>
      </c>
      <c r="R33" s="8" t="s">
        <v>58</v>
      </c>
      <c r="S33" s="8" t="s">
        <v>61</v>
      </c>
      <c r="T33" s="8" t="s">
        <v>58</v>
      </c>
      <c r="U33" s="8" t="s">
        <v>58</v>
      </c>
      <c r="V33" s="8" t="s">
        <v>61</v>
      </c>
      <c r="W33" s="8" t="s">
        <v>59</v>
      </c>
      <c r="X33" s="8" t="s">
        <v>59</v>
      </c>
      <c r="Y33" s="8" t="s">
        <v>60</v>
      </c>
      <c r="Z33" s="8" t="s">
        <v>61</v>
      </c>
      <c r="AB33" s="8" t="s">
        <v>58</v>
      </c>
      <c r="AC33" s="8" t="s">
        <v>58</v>
      </c>
      <c r="AD33" s="8" t="s">
        <v>61</v>
      </c>
      <c r="AE33" s="8" t="s">
        <v>58</v>
      </c>
      <c r="AF33" s="8" t="s">
        <v>58</v>
      </c>
      <c r="AG33" s="8" t="s">
        <v>59</v>
      </c>
      <c r="AH33" s="8" t="s">
        <v>59</v>
      </c>
      <c r="AI33" s="8" t="s">
        <v>59</v>
      </c>
      <c r="AJ33" s="8" t="s">
        <v>59</v>
      </c>
      <c r="AK33" s="8" t="s">
        <v>59</v>
      </c>
      <c r="AL33" s="8" t="s">
        <v>59</v>
      </c>
      <c r="AM33" s="8" t="s">
        <v>59</v>
      </c>
      <c r="AN33" s="8" t="s">
        <v>59</v>
      </c>
      <c r="AO33" s="8" t="s">
        <v>59</v>
      </c>
      <c r="AP33" s="8" t="s">
        <v>58</v>
      </c>
      <c r="AQ33" s="8" t="s">
        <v>59</v>
      </c>
      <c r="AR33" s="8" t="s">
        <v>59</v>
      </c>
      <c r="AS33" s="8" t="s">
        <v>58</v>
      </c>
      <c r="AT33" s="8" t="s">
        <v>58</v>
      </c>
      <c r="AV33" s="8" t="s">
        <v>58</v>
      </c>
      <c r="AW33" s="8" t="s">
        <v>58</v>
      </c>
      <c r="AX33" s="8" t="s">
        <v>58</v>
      </c>
      <c r="AY33" s="8" t="s">
        <v>58</v>
      </c>
      <c r="AZ33" s="8" t="s">
        <v>60</v>
      </c>
      <c r="BA33" s="8" t="s">
        <v>59</v>
      </c>
      <c r="BB33" s="8" t="s">
        <v>77</v>
      </c>
      <c r="BC33" s="8" t="s">
        <v>59</v>
      </c>
      <c r="BD33" s="8" t="s">
        <v>58</v>
      </c>
      <c r="BE33" s="8" t="s">
        <v>58</v>
      </c>
      <c r="BF33" s="8" t="s">
        <v>58</v>
      </c>
      <c r="BG33" s="8" t="s">
        <v>61</v>
      </c>
      <c r="BH33" s="8" t="s">
        <v>61</v>
      </c>
    </row>
  </sheetData>
  <hyperlinks>
    <hyperlink ref="C4" r:id="rId1" display="dyan729@gmail.com" xr:uid="{976ED7F2-E957-4FB3-AFB3-6DBA13794D05}"/>
    <hyperlink ref="C12" r:id="rId2" display="dyan729@gmail.com" xr:uid="{39BD2A72-79FE-4244-9C9B-CD8334C0F2E2}"/>
    <hyperlink ref="A1" r:id="rId3" display="dyan729@gmail.com" xr:uid="{D12CE5D0-E41B-42EC-BB90-4E210E8B56D4}"/>
    <hyperlink ref="C7" r:id="rId4" display="feri.perdian87@gmail.com" xr:uid="{AFF54084-F1D8-4A51-B835-88A11833F525}"/>
    <hyperlink ref="C10" r:id="rId5" display="dyan729@gmail.com" xr:uid="{B4817CEA-9114-41CF-B104-AF6DB89BE944}"/>
  </hyperlinks>
  <pageMargins left="0.7" right="0.7" top="0.75" bottom="0.75" header="0.3" footer="0.3"/>
  <pageSetup paperSize="9" orientation="portrait" r:id="rId6"/>
  <tableParts count="1">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7923-1555-4037-AF88-6E3D2A875031}">
  <dimension ref="B3:D29"/>
  <sheetViews>
    <sheetView topLeftCell="A18" workbookViewId="0">
      <selection activeCell="F28" sqref="F28"/>
    </sheetView>
  </sheetViews>
  <sheetFormatPr defaultRowHeight="12.5" x14ac:dyDescent="0.25"/>
  <cols>
    <col min="2" max="2" width="18" customWidth="1"/>
    <col min="3" max="3" width="19" customWidth="1"/>
  </cols>
  <sheetData>
    <row r="3" spans="2:3" x14ac:dyDescent="0.25">
      <c r="B3" s="17" t="s">
        <v>2</v>
      </c>
      <c r="C3" s="17" t="s">
        <v>157</v>
      </c>
    </row>
    <row r="4" spans="2:3" x14ac:dyDescent="0.25">
      <c r="B4" s="18" t="s">
        <v>74</v>
      </c>
      <c r="C4" s="19">
        <v>12</v>
      </c>
    </row>
    <row r="5" spans="2:3" x14ac:dyDescent="0.25">
      <c r="B5" s="18" t="s">
        <v>55</v>
      </c>
      <c r="C5" s="19">
        <v>20</v>
      </c>
    </row>
    <row r="6" spans="2:3" x14ac:dyDescent="0.25">
      <c r="B6" s="19"/>
      <c r="C6" s="19">
        <f>C4+C5</f>
        <v>32</v>
      </c>
    </row>
    <row r="24" spans="2:4" x14ac:dyDescent="0.25">
      <c r="B24" s="20" t="s">
        <v>158</v>
      </c>
      <c r="C24" s="20" t="s">
        <v>157</v>
      </c>
    </row>
    <row r="25" spans="2:4" x14ac:dyDescent="0.25">
      <c r="B25" s="18" t="s">
        <v>69</v>
      </c>
      <c r="C25" s="19">
        <v>10</v>
      </c>
      <c r="D25" s="21">
        <f>C25/C29</f>
        <v>0.3125</v>
      </c>
    </row>
    <row r="26" spans="2:4" x14ac:dyDescent="0.25">
      <c r="B26" s="18" t="s">
        <v>56</v>
      </c>
      <c r="C26" s="19">
        <v>10</v>
      </c>
      <c r="D26" s="21">
        <f>C26/C29</f>
        <v>0.3125</v>
      </c>
    </row>
    <row r="27" spans="2:4" x14ac:dyDescent="0.25">
      <c r="B27" s="18" t="s">
        <v>62</v>
      </c>
      <c r="C27" s="19">
        <v>5</v>
      </c>
      <c r="D27" s="21">
        <f>C27/C29</f>
        <v>0.15625</v>
      </c>
    </row>
    <row r="28" spans="2:4" x14ac:dyDescent="0.25">
      <c r="B28" s="18" t="s">
        <v>159</v>
      </c>
      <c r="C28" s="19">
        <v>7</v>
      </c>
      <c r="D28" s="21">
        <f>C28/C29</f>
        <v>0.21875</v>
      </c>
    </row>
    <row r="29" spans="2:4" x14ac:dyDescent="0.25">
      <c r="B29" s="19"/>
      <c r="C29" s="19">
        <f>SUM(C25:C28)</f>
        <v>32</v>
      </c>
      <c r="D29" s="21">
        <f>C29/C29</f>
        <v>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 Responses 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Anisa Nurlitasari</dc:creator>
  <cp:lastModifiedBy>Juli Yandi Rahman</cp:lastModifiedBy>
  <dcterms:created xsi:type="dcterms:W3CDTF">2025-06-09T13:21:45Z</dcterms:created>
  <dcterms:modified xsi:type="dcterms:W3CDTF">2025-06-11T07:49:05Z</dcterms:modified>
</cp:coreProperties>
</file>